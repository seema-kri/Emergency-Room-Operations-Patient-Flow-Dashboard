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e8692590cf0392b3/Attachments/Desktop/data.me/Projects/ER Operations Analytics/"/>
    </mc:Choice>
  </mc:AlternateContent>
  <xr:revisionPtr revIDLastSave="95" documentId="8_{1CEB2481-E4D5-4AF0-B676-1BE635BF0CB0}" xr6:coauthVersionLast="47" xr6:coauthVersionMax="47" xr10:uidLastSave="{7FE6A170-34DD-4FE2-8871-286B3E1C9731}"/>
  <bookViews>
    <workbookView xWindow="-108" yWindow="-108" windowWidth="23256" windowHeight="12456" firstSheet="1" activeTab="4" xr2:uid="{BB386CE9-E6A7-4B54-9038-B292F7F47672}"/>
  </bookViews>
  <sheets>
    <sheet name="Dashboard" sheetId="8" r:id="rId1"/>
    <sheet name="Pivot report" sheetId="1" r:id="rId2"/>
    <sheet name="avg satisfcation score" sheetId="6" r:id="rId3"/>
    <sheet name="Avg wait time" sheetId="5" r:id="rId4"/>
    <sheet name="daily ER no. of patient" sheetId="4" r:id="rId5"/>
  </sheets>
  <definedNames>
    <definedName name="Monthly_report">'Pivot report'!$A$7</definedName>
    <definedName name="Slicer_Date__Month">#N/A</definedName>
    <definedName name="Slicer_Date__Year">#N/A</definedName>
    <definedName name="time">'Pivot report'!$A$15</definedName>
    <definedName name="waittime">'Pivot report'!$A$11</definedName>
  </definedNames>
  <calcPr calcId="191029"/>
  <pivotCaches>
    <pivotCache cacheId="26" r:id="rId6"/>
    <pivotCache cacheId="28" r:id="rId7"/>
    <pivotCache cacheId="30" r:id="rId8"/>
    <pivotCache cacheId="32" r:id="rId9"/>
    <pivotCache cacheId="34" r:id="rId10"/>
    <pivotCache cacheId="36" r:id="rId11"/>
    <pivotCache cacheId="38" r:id="rId12"/>
    <pivotCache cacheId="40" r:id="rId13"/>
    <pivotCache cacheId="42" r:id="rId14"/>
    <pivotCache cacheId="44" r:id="rId15"/>
    <pivotCache cacheId="46"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R_Data_31f07e16-d9d9-4b10-b583-4d14c2e14781" name="Hospital ER_Data" connection="Query - Hospital ER_Data"/>
          <x15:modelTable id="Calendar Table_2ffa5687-2067-40e0-8f90-68f753ce7a7e" name="Calendar Table" connection="Query - Calendar Table"/>
        </x15:modelTables>
        <x15:modelRelationships>
          <x15:modelRelationship fromTable="Hospital ER_Data" fromColumn="Patient Admission 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5" i="1" l="1"/>
  <c r="B45" i="1"/>
  <c r="A45" i="1"/>
  <c r="C44" i="1"/>
  <c r="B44" i="1"/>
  <c r="A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DFC15A-AA7E-416D-A558-FFF2F4B0199A}" name="Query - Calendar Table" description="Connection to the 'Calendar Table' query in the workbook." type="100" refreshedVersion="8" minRefreshableVersion="5">
    <extLst>
      <ext xmlns:x15="http://schemas.microsoft.com/office/spreadsheetml/2010/11/main" uri="{DE250136-89BD-433C-8126-D09CA5730AF9}">
        <x15:connection id="4b95ada1-d16c-4360-ba80-669b252e4e5e"/>
      </ext>
    </extLst>
  </connection>
  <connection id="2" xr16:uid="{3E61C083-BECB-4C9F-A6AC-AB26A7F0A4D7}" name="Query - Hospital ER_Data" description="Connection to the 'Hospital ER_Data' query in the workbook." type="100" refreshedVersion="8" minRefreshableVersion="5">
    <extLst>
      <ext xmlns:x15="http://schemas.microsoft.com/office/spreadsheetml/2010/11/main" uri="{DE250136-89BD-433C-8126-D09CA5730AF9}">
        <x15:connection id="87e7563f-3938-4cb5-9c34-ebb18bf572f0"/>
      </ext>
    </extLst>
  </connection>
  <connection id="3" xr16:uid="{5227F2F4-314D-429D-8C6C-2C63C438F944}"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<sst xmlns="http://schemas.openxmlformats.org/spreadsheetml/2006/main" count="159" uniqueCount="78">
  <si>
    <t>Distinct Count of Patient Id</t>
  </si>
  <si>
    <t>No. of patient</t>
  </si>
  <si>
    <t>Average of Patient Waittime</t>
  </si>
  <si>
    <t>Average of Patient Satisfaction Score</t>
  </si>
  <si>
    <t>Grand Total</t>
  </si>
  <si>
    <t>Row Labels</t>
  </si>
  <si>
    <t>no. of daily patients visit</t>
  </si>
  <si>
    <t>satisfaction daily trend</t>
  </si>
  <si>
    <t>Count of Patient Admission Flag</t>
  </si>
  <si>
    <t>Admitted</t>
  </si>
  <si>
    <t>Not Admitted</t>
  </si>
  <si>
    <t>Count of Patient Admission Flag2</t>
  </si>
  <si>
    <t>Count of Age Group</t>
  </si>
  <si>
    <t>60-69</t>
  </si>
  <si>
    <t>70-79</t>
  </si>
  <si>
    <t>0-9</t>
  </si>
  <si>
    <t>10-19</t>
  </si>
  <si>
    <t>20-29</t>
  </si>
  <si>
    <t>30-39</t>
  </si>
  <si>
    <t>40-49</t>
  </si>
  <si>
    <t>50-59</t>
  </si>
  <si>
    <t>Male</t>
  </si>
  <si>
    <t>None</t>
  </si>
  <si>
    <t>Ontime</t>
  </si>
  <si>
    <t>Delay</t>
  </si>
  <si>
    <t>Female</t>
  </si>
  <si>
    <t>General Practice</t>
  </si>
  <si>
    <t>Orthopedics</t>
  </si>
  <si>
    <t>Physiotherapy</t>
  </si>
  <si>
    <t>Neurology</t>
  </si>
  <si>
    <t>Gastroenterology</t>
  </si>
  <si>
    <t>Cardiology</t>
  </si>
  <si>
    <t>Renal</t>
  </si>
  <si>
    <t>Unknown</t>
  </si>
  <si>
    <t>age group wise anlysis</t>
  </si>
  <si>
    <t>Count of Patient Id</t>
  </si>
  <si>
    <t>attend status</t>
  </si>
  <si>
    <t>Count of Patient Gender</t>
  </si>
  <si>
    <t>gender wise anlysis</t>
  </si>
  <si>
    <t>Count of Department Referral</t>
  </si>
  <si>
    <t>Count of Date (Year)</t>
  </si>
  <si>
    <t>average wait time</t>
  </si>
  <si>
    <t>2023</t>
  </si>
  <si>
    <t>Admission Status</t>
  </si>
  <si>
    <t>Patient Count</t>
  </si>
  <si>
    <t>Percentage (%)</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</si>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</sst>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6BA42C"/>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2" fontId="0" fillId="0" borderId="0" xfId="0" applyNumberFormat="1"/>
    <xf numFmtId="0" fontId="0" fillId="0" borderId="0" xfId="0" applyAlignment="1">
      <alignment horizontal="left"/>
    </xf>
    <xf numFmtId="1" fontId="0" fillId="0" borderId="0" xfId="0" applyNumberFormat="1"/>
    <xf numFmtId="10" fontId="0" fillId="0" borderId="0" xfId="0" applyNumberFormat="1"/>
    <xf numFmtId="0" fontId="0" fillId="2" borderId="0" xfId="0" applyFill="1"/>
    <xf numFmtId="10" fontId="0" fillId="2" borderId="0" xfId="1" applyNumberFormat="1" applyFont="1" applyFill="1"/>
    <xf numFmtId="0" fontId="0" fillId="3" borderId="0" xfId="0" applyFill="1"/>
    <xf numFmtId="0" fontId="0" fillId="4" borderId="0" xfId="0" applyFill="1"/>
    <xf numFmtId="0" fontId="0" fillId="4" borderId="0" xfId="0" applyFill="1" applyAlignment="1">
      <alignment horizontal="left"/>
    </xf>
    <xf numFmtId="0" fontId="0" fillId="0" borderId="0" xfId="0" applyNumberFormat="1"/>
  </cellXfs>
  <cellStyles count="2">
    <cellStyle name="Normal" xfId="0" builtinId="0"/>
    <cellStyle name="Percent" xfId="1" builtinId="5"/>
  </cellStyles>
  <dxfs count="14">
    <dxf>
      <numFmt numFmtId="1" formatCode="0"/>
    </dxf>
    <dxf>
      <numFmt numFmtId="2" formatCode="0.00"/>
    </dxf>
    <dxf>
      <numFmt numFmtId="1" formatCode="0"/>
    </dxf>
    <dxf>
      <numFmt numFmtId="2" formatCode="0.00"/>
    </dxf>
    <dxf>
      <numFmt numFmtId="2" formatCode="0.00"/>
    </dxf>
    <dxf>
      <numFmt numFmtId="14" formatCode="0.00%"/>
    </dxf>
    <dxf>
      <numFmt numFmtId="1" formatCode="0"/>
    </dxf>
    <dxf>
      <numFmt numFmtId="164" formatCode="0.0"/>
    </dxf>
    <dxf>
      <numFmt numFmtId="1" formatCode="0"/>
    </dxf>
    <dxf>
      <numFmt numFmtId="1" formatCode="0"/>
    </dxf>
    <dxf>
      <numFmt numFmtId="2" formatCode="0.00"/>
    </dxf>
    <dxf>
      <numFmt numFmtId="1" formatCode="0"/>
    </dxf>
    <dxf>
      <fill>
        <patternFill>
          <bgColor rgb="FF1261A0"/>
        </patternFill>
      </fill>
    </dxf>
    <dxf>
      <fill>
        <patternFill>
          <bgColor theme="0"/>
        </patternFill>
      </fill>
    </dxf>
  </dxfs>
  <tableStyles count="2" defaultTableStyle="TableStyleMedium2" defaultPivotStyle="PivotStyleLight16">
    <tableStyle name="my style" pivot="0" table="0" count="0" xr9:uid="{836D875E-F5B7-4701-88DB-63A32A3743E5}"/>
    <tableStyle name="Slicer Style 1" pivot="0" table="0" count="3" xr9:uid="{79B49CEB-3600-46A6-A98D-8E83A0E75158}">
      <tableStyleElement type="wholeTable" dxfId="13"/>
      <tableStyleElement type="headerRow" dxfId="12"/>
    </tableStyle>
  </tableStyles>
  <colors>
    <mruColors>
      <color rgb="FF6BA42C"/>
      <color rgb="FF1261A0"/>
      <color rgb="FF279F7E"/>
      <color rgb="FF56BD63"/>
      <color rgb="FF0A5E9F"/>
      <color rgb="FF8DBC4E"/>
    </mruColors>
  </colors>
  <extLst>
    <ext xmlns:x14="http://schemas.microsoft.com/office/spreadsheetml/2009/9/main" uri="{46F421CA-312F-682f-3DD2-61675219B42D}">
      <x14:dxfs count="1">
        <dxf>
          <fill>
            <patternFill>
              <bgColor rgb="FF6BA42C"/>
            </patternFill>
          </fill>
        </dxf>
      </x14:dxfs>
    </ext>
    <ext xmlns:x14="http://schemas.microsoft.com/office/spreadsheetml/2009/9/main" uri="{EB79DEF2-80B8-43e5-95BD-54CBDDF9020C}">
      <x14:slicerStyles defaultSlicerStyle="SlicerStyleLight1">
        <x14:slicerStyle name="my style"/>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report!PivotTable17</c:name>
    <c:fmtId val="18"/>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dLbl>
          <c:idx val="0"/>
          <c:layout>
            <c:manualLayout>
              <c:x val="-1.6769899328684835E-3"/>
              <c:y val="0.248881275798863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656468871847856"/>
          <c:y val="0.15619919550282799"/>
          <c:w val="0.60130408032937532"/>
          <c:h val="0.79994111750683583"/>
        </c:manualLayout>
      </c:layout>
      <c:pieChart>
        <c:varyColors val="1"/>
        <c:ser>
          <c:idx val="0"/>
          <c:order val="0"/>
          <c:tx>
            <c:strRef>
              <c:f>'Pivot report'!$E$60</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A0DB-43B5-8F12-F66EC625E09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A0DB-43B5-8F12-F66EC625E09C}"/>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0DB-43B5-8F12-F66EC625E09C}"/>
              </c:ext>
            </c:extLst>
          </c:dPt>
          <c:dLbls>
            <c:dLbl>
              <c:idx val="2"/>
              <c:layout>
                <c:manualLayout>
                  <c:x val="-1.6769899328684835E-3"/>
                  <c:y val="0.2488812757988636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DB-43B5-8F12-F66EC625E0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report'!$D$61:$D$64</c:f>
              <c:strCache>
                <c:ptCount val="3"/>
                <c:pt idx="0">
                  <c:v>Female</c:v>
                </c:pt>
                <c:pt idx="1">
                  <c:v>Male</c:v>
                </c:pt>
                <c:pt idx="2">
                  <c:v>Unknown</c:v>
                </c:pt>
              </c:strCache>
            </c:strRef>
          </c:cat>
          <c:val>
            <c:numRef>
              <c:f>'Pivot report'!$E$61:$E$64</c:f>
              <c:numCache>
                <c:formatCode>0</c:formatCode>
                <c:ptCount val="3"/>
                <c:pt idx="0">
                  <c:v>231</c:v>
                </c:pt>
                <c:pt idx="1">
                  <c:v>273</c:v>
                </c:pt>
                <c:pt idx="2">
                  <c:v>2</c:v>
                </c:pt>
              </c:numCache>
            </c:numRef>
          </c:val>
          <c:extLst>
            <c:ext xmlns:c16="http://schemas.microsoft.com/office/drawing/2014/chart" uri="{C3380CC4-5D6E-409C-BE32-E72D297353CC}">
              <c16:uniqueId val="{00000006-C43C-406D-8735-66AC16D35D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3.8270286126672444E-2"/>
          <c:y val="4.385968699033619E-2"/>
          <c:w val="0.96172971387332751"/>
          <c:h val="0.134328061824891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manualLayout>
          <c:layoutTarget val="inner"/>
          <c:xMode val="edge"/>
          <c:yMode val="edge"/>
          <c:x val="0.21761191141429903"/>
          <c:y val="0.10243256490529044"/>
          <c:w val="0.68661840657014661"/>
          <c:h val="0.85740679252442842"/>
        </c:manualLayout>
      </c:layout>
      <c:pieChart>
        <c:varyColors val="1"/>
        <c:ser>
          <c:idx val="0"/>
          <c:order val="0"/>
          <c:tx>
            <c:strRef>
              <c:f>'Pivot report'!$B$61</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BF09-4B39-9D36-C93E1B3D762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BF09-4B39-9D36-C93E1B3D76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report'!$A$62:$A$64</c:f>
              <c:strCache>
                <c:ptCount val="2"/>
                <c:pt idx="0">
                  <c:v>Delay</c:v>
                </c:pt>
                <c:pt idx="1">
                  <c:v>Ontime</c:v>
                </c:pt>
              </c:strCache>
            </c:strRef>
          </c:cat>
          <c:val>
            <c:numRef>
              <c:f>'Pivot report'!$B$62:$B$64</c:f>
              <c:numCache>
                <c:formatCode>0</c:formatCode>
                <c:ptCount val="2"/>
                <c:pt idx="0">
                  <c:v>312</c:v>
                </c:pt>
                <c:pt idx="1">
                  <c:v>194</c:v>
                </c:pt>
              </c:numCache>
            </c:numRef>
          </c:val>
          <c:extLst>
            <c:ext xmlns:c16="http://schemas.microsoft.com/office/drawing/2014/chart" uri="{C3380CC4-5D6E-409C-BE32-E72D297353CC}">
              <c16:uniqueId val="{00000004-F388-4E17-A891-2B0840182DC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9.1799411956495741E-2"/>
          <c:y val="0"/>
          <c:w val="0.8166406618527523"/>
          <c:h val="0.1280144198842614"/>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922759655043E-4"/>
          <c:y val="0.13896601740571901"/>
          <c:w val="0.99938199689324547"/>
          <c:h val="0.82954309987567343"/>
        </c:manualLayout>
      </c:layout>
      <c:areaChart>
        <c:grouping val="standard"/>
        <c:varyColors val="0"/>
        <c:ser>
          <c:idx val="0"/>
          <c:order val="0"/>
          <c:tx>
            <c:v>Total</c:v>
          </c:tx>
          <c:spPr>
            <a:solidFill>
              <a:schemeClr val="accent1"/>
            </a:solidFill>
            <a:ln>
              <a:noFill/>
            </a:ln>
            <a:effectLst/>
          </c:spPr>
          <c:cat>
            <c:strLit>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Lit>
          </c:cat>
          <c:val>
            <c:numLit>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Lit>
          </c:val>
          <c:extLst>
            <c:ext xmlns:c16="http://schemas.microsoft.com/office/drawing/2014/chart" uri="{C3380CC4-5D6E-409C-BE32-E72D297353CC}">
              <c16:uniqueId val="{00000000-BBC4-49E5-8EAA-6495B8975AA4}"/>
            </c:ext>
          </c:extLst>
        </c:ser>
        <c:dLbls>
          <c:showLegendKey val="0"/>
          <c:showVal val="0"/>
          <c:showCatName val="0"/>
          <c:showSerName val="0"/>
          <c:showPercent val="0"/>
          <c:showBubbleSize val="0"/>
        </c:dLbls>
        <c:axId val="601463856"/>
        <c:axId val="601464336"/>
      </c:areaChart>
      <c:catAx>
        <c:axId val="601463856"/>
        <c:scaling>
          <c:orientation val="minMax"/>
        </c:scaling>
        <c:delete val="1"/>
        <c:axPos val="b"/>
        <c:numFmt formatCode="General" sourceLinked="1"/>
        <c:majorTickMark val="out"/>
        <c:minorTickMark val="none"/>
        <c:tickLblPos val="nextTo"/>
        <c:crossAx val="601464336"/>
        <c:crosses val="autoZero"/>
        <c:auto val="1"/>
        <c:lblAlgn val="ctr"/>
        <c:lblOffset val="100"/>
        <c:noMultiLvlLbl val="0"/>
      </c:catAx>
      <c:valAx>
        <c:axId val="601464336"/>
        <c:scaling>
          <c:orientation val="minMax"/>
        </c:scaling>
        <c:delete val="1"/>
        <c:axPos val="l"/>
        <c:numFmt formatCode="General" sourceLinked="1"/>
        <c:majorTickMark val="out"/>
        <c:minorTickMark val="none"/>
        <c:tickLblPos val="nextTo"/>
        <c:crossAx val="601463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457200"/>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62003823596164E-4"/>
          <c:y val="1.8460192475940442E-3"/>
          <c:w val="0.99876050735948774"/>
          <c:h val="0.95629020637126239"/>
        </c:manualLayout>
      </c:layout>
      <c:areaChart>
        <c:grouping val="standard"/>
        <c:varyColors val="0"/>
        <c:dLbls>
          <c:showLegendKey val="0"/>
          <c:showVal val="0"/>
          <c:showCatName val="0"/>
          <c:showSerName val="0"/>
          <c:showPercent val="0"/>
          <c:showBubbleSize val="0"/>
        </c:dLbls>
        <c:axId val="501444656"/>
        <c:axId val="501445136"/>
      </c:areaChart>
      <c:catAx>
        <c:axId val="501444656"/>
        <c:scaling>
          <c:orientation val="minMax"/>
        </c:scaling>
        <c:delete val="1"/>
        <c:axPos val="b"/>
        <c:numFmt formatCode="General" sourceLinked="1"/>
        <c:majorTickMark val="out"/>
        <c:minorTickMark val="none"/>
        <c:tickLblPos val="nextTo"/>
        <c:crossAx val="501445136"/>
        <c:crosses val="autoZero"/>
        <c:auto val="1"/>
        <c:lblAlgn val="ctr"/>
        <c:lblOffset val="100"/>
        <c:noMultiLvlLbl val="0"/>
      </c:catAx>
      <c:valAx>
        <c:axId val="501445136"/>
        <c:scaling>
          <c:orientation val="minMax"/>
        </c:scaling>
        <c:delete val="1"/>
        <c:axPos val="l"/>
        <c:numFmt formatCode="0.00" sourceLinked="1"/>
        <c:majorTickMark val="none"/>
        <c:minorTickMark val="none"/>
        <c:tickLblPos val="nextTo"/>
        <c:crossAx val="501444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413366807409943E-2"/>
          <c:y val="0.39548022598870058"/>
          <c:w val="0.93457202741743617"/>
          <c:h val="0.52418034610080511"/>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report'!$J$7:$J$38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11F7-42B8-85C6-D085A9F88628}"/>
            </c:ext>
          </c:extLst>
        </c:ser>
        <c:dLbls>
          <c:showLegendKey val="0"/>
          <c:showVal val="0"/>
          <c:showCatName val="0"/>
          <c:showSerName val="0"/>
          <c:showPercent val="0"/>
          <c:showBubbleSize val="0"/>
        </c:dLbls>
        <c:axId val="693915216"/>
        <c:axId val="693907536"/>
      </c:areaChart>
      <c:catAx>
        <c:axId val="693915216"/>
        <c:scaling>
          <c:orientation val="minMax"/>
        </c:scaling>
        <c:delete val="1"/>
        <c:axPos val="b"/>
        <c:numFmt formatCode="General" sourceLinked="1"/>
        <c:majorTickMark val="out"/>
        <c:minorTickMark val="none"/>
        <c:tickLblPos val="nextTo"/>
        <c:crossAx val="693907536"/>
        <c:crosses val="autoZero"/>
        <c:auto val="1"/>
        <c:lblAlgn val="ctr"/>
        <c:lblOffset val="100"/>
        <c:noMultiLvlLbl val="0"/>
      </c:catAx>
      <c:valAx>
        <c:axId val="693907536"/>
        <c:scaling>
          <c:orientation val="minMax"/>
        </c:scaling>
        <c:delete val="1"/>
        <c:axPos val="l"/>
        <c:numFmt formatCode="0.00" sourceLinked="1"/>
        <c:majorTickMark val="none"/>
        <c:minorTickMark val="none"/>
        <c:tickLblPos val="nextTo"/>
        <c:crossAx val="6939152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35893317867843"/>
          <c:y val="2.2175137198759246E-2"/>
          <c:w val="0.6596846894138233"/>
          <c:h val="0.86818706752565011"/>
        </c:manualLayout>
      </c:layout>
      <c:barChart>
        <c:barDir val="bar"/>
        <c:grouping val="clustered"/>
        <c:varyColors val="0"/>
        <c:ser>
          <c:idx val="0"/>
          <c:order val="0"/>
          <c:tx>
            <c:strRef>
              <c:f>'Pivot report'!$E$67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report'!$D$68:$D$76</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report'!$E$68:$E$76</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2768-45DD-8CD3-E7110E1AF646}"/>
            </c:ext>
          </c:extLst>
        </c:ser>
        <c:dLbls>
          <c:showLegendKey val="0"/>
          <c:showVal val="0"/>
          <c:showCatName val="0"/>
          <c:showSerName val="0"/>
          <c:showPercent val="0"/>
          <c:showBubbleSize val="0"/>
        </c:dLbls>
        <c:gapWidth val="86"/>
        <c:overlap val="4"/>
        <c:axId val="701455232"/>
        <c:axId val="701440352"/>
      </c:barChart>
      <c:catAx>
        <c:axId val="7014552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01440352"/>
        <c:crosses val="autoZero"/>
        <c:auto val="1"/>
        <c:lblAlgn val="ctr"/>
        <c:lblOffset val="100"/>
        <c:noMultiLvlLbl val="0"/>
      </c:catAx>
      <c:valAx>
        <c:axId val="701440352"/>
        <c:scaling>
          <c:orientation val="minMax"/>
        </c:scaling>
        <c:delete val="1"/>
        <c:axPos val="b"/>
        <c:numFmt formatCode="0" sourceLinked="1"/>
        <c:majorTickMark val="out"/>
        <c:minorTickMark val="none"/>
        <c:tickLblPos val="nextTo"/>
        <c:crossAx val="70145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261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94771126620194E-2"/>
          <c:y val="0"/>
          <c:w val="0.96448050986741096"/>
          <c:h val="0.82366019654519929"/>
        </c:manualLayout>
      </c:layout>
      <c:barChart>
        <c:barDir val="col"/>
        <c:grouping val="clustered"/>
        <c:varyColors val="0"/>
        <c:ser>
          <c:idx val="0"/>
          <c:order val="0"/>
          <c:tx>
            <c:strRef>
              <c:f>'Pivot report'!$B$49</c:f>
              <c:strCache>
                <c:ptCount val="1"/>
                <c:pt idx="0">
                  <c:v>Total</c:v>
                </c:pt>
              </c:strCache>
            </c:strRef>
          </c:tx>
          <c:spPr>
            <a:solidFill>
              <a:srgbClr val="1261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report'!$A$50:$A$58</c:f>
              <c:strCache>
                <c:ptCount val="8"/>
                <c:pt idx="0">
                  <c:v>0-9</c:v>
                </c:pt>
                <c:pt idx="1">
                  <c:v>10-19</c:v>
                </c:pt>
                <c:pt idx="2">
                  <c:v>20-29</c:v>
                </c:pt>
                <c:pt idx="3">
                  <c:v>30-39</c:v>
                </c:pt>
                <c:pt idx="4">
                  <c:v>40-49</c:v>
                </c:pt>
                <c:pt idx="5">
                  <c:v>50-59</c:v>
                </c:pt>
                <c:pt idx="6">
                  <c:v>60-69</c:v>
                </c:pt>
                <c:pt idx="7">
                  <c:v>70-79</c:v>
                </c:pt>
              </c:strCache>
            </c:strRef>
          </c:cat>
          <c:val>
            <c:numRef>
              <c:f>'Pivot report'!$B$50:$B$58</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8989-4AA3-9197-995A5806817D}"/>
            </c:ext>
          </c:extLst>
        </c:ser>
        <c:dLbls>
          <c:showLegendKey val="0"/>
          <c:showVal val="0"/>
          <c:showCatName val="0"/>
          <c:showSerName val="0"/>
          <c:showPercent val="0"/>
          <c:showBubbleSize val="0"/>
        </c:dLbls>
        <c:gapWidth val="219"/>
        <c:overlap val="-27"/>
        <c:axId val="60750671"/>
        <c:axId val="60754031"/>
      </c:barChart>
      <c:catAx>
        <c:axId val="6075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0754031"/>
        <c:crosses val="autoZero"/>
        <c:auto val="1"/>
        <c:lblAlgn val="ctr"/>
        <c:lblOffset val="100"/>
        <c:noMultiLvlLbl val="0"/>
      </c:catAx>
      <c:valAx>
        <c:axId val="60754031"/>
        <c:scaling>
          <c:orientation val="minMax"/>
        </c:scaling>
        <c:delete val="1"/>
        <c:axPos val="l"/>
        <c:numFmt formatCode="0" sourceLinked="1"/>
        <c:majorTickMark val="none"/>
        <c:minorTickMark val="none"/>
        <c:tickLblPos val="nextTo"/>
        <c:crossAx val="6075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81709639236271E-2"/>
          <c:y val="0"/>
          <c:w val="0.96524061978048203"/>
          <c:h val="0.99396378078352976"/>
        </c:manualLayout>
      </c:layout>
      <c:areaChart>
        <c:grouping val="standard"/>
        <c:varyColors val="0"/>
        <c:ser>
          <c:idx val="0"/>
          <c:order val="0"/>
          <c:tx>
            <c:strRef>
              <c:f>'Pivot report'!$G$6</c:f>
              <c:strCache>
                <c:ptCount val="1"/>
                <c:pt idx="0">
                  <c:v>Total</c:v>
                </c:pt>
              </c:strCache>
            </c:strRef>
          </c:tx>
          <c:spPr>
            <a:solidFill>
              <a:schemeClr val="accent1"/>
            </a:solidFill>
            <a:ln w="25400">
              <a:noFill/>
            </a:ln>
            <a:effectLst/>
          </c:spPr>
          <c:cat>
            <c:strRef>
              <c:f>'Pivot report'!$F$7:$F$38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report'!$G$7:$G$38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1-4F47-4CF0-A43E-3F521BD6F4C5}"/>
            </c:ext>
          </c:extLst>
        </c:ser>
        <c:dLbls>
          <c:showLegendKey val="0"/>
          <c:showVal val="0"/>
          <c:showCatName val="0"/>
          <c:showSerName val="0"/>
          <c:showPercent val="0"/>
          <c:showBubbleSize val="0"/>
        </c:dLbls>
        <c:axId val="1463033040"/>
        <c:axId val="1463039760"/>
      </c:areaChart>
      <c:catAx>
        <c:axId val="1463033040"/>
        <c:scaling>
          <c:orientation val="minMax"/>
        </c:scaling>
        <c:delete val="1"/>
        <c:axPos val="b"/>
        <c:numFmt formatCode="General" sourceLinked="1"/>
        <c:majorTickMark val="out"/>
        <c:minorTickMark val="none"/>
        <c:tickLblPos val="nextTo"/>
        <c:crossAx val="1463039760"/>
        <c:crosses val="autoZero"/>
        <c:auto val="1"/>
        <c:lblAlgn val="ctr"/>
        <c:lblOffset val="100"/>
        <c:noMultiLvlLbl val="0"/>
      </c:catAx>
      <c:valAx>
        <c:axId val="1463039760"/>
        <c:scaling>
          <c:orientation val="minMax"/>
        </c:scaling>
        <c:delete val="1"/>
        <c:axPos val="l"/>
        <c:numFmt formatCode="0.00" sourceLinked="1"/>
        <c:majorTickMark val="none"/>
        <c:minorTickMark val="none"/>
        <c:tickLblPos val="nextTo"/>
        <c:crossAx val="1463033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s>
    <c:plotArea>
      <c:layout>
        <c:manualLayout>
          <c:layoutTarget val="inner"/>
          <c:xMode val="edge"/>
          <c:yMode val="edge"/>
          <c:x val="7.3436197392427564E-3"/>
          <c:y val="0.17993474668356954"/>
          <c:w val="0.9926563802607572"/>
          <c:h val="0.68025990413347992"/>
        </c:manualLayout>
      </c:layout>
      <c:barChart>
        <c:barDir val="bar"/>
        <c:grouping val="clustered"/>
        <c:varyColors val="0"/>
        <c:ser>
          <c:idx val="0"/>
          <c:order val="0"/>
          <c:tx>
            <c:strRef>
              <c:f>'Pivot report'!$B$38</c:f>
              <c:strCache>
                <c:ptCount val="1"/>
                <c:pt idx="0">
                  <c:v>Count of Patient Admission Flag</c:v>
                </c:pt>
              </c:strCache>
            </c:strRef>
          </c:tx>
          <c:spPr>
            <a:solidFill>
              <a:schemeClr val="accent1"/>
            </a:solidFill>
            <a:ln>
              <a:noFill/>
            </a:ln>
            <a:effectLst/>
          </c:spPr>
          <c:invertIfNegative val="0"/>
          <c:cat>
            <c:strRef>
              <c:f>'Pivot report'!$A$39:$A$41</c:f>
              <c:strCache>
                <c:ptCount val="2"/>
                <c:pt idx="0">
                  <c:v>Admitted</c:v>
                </c:pt>
                <c:pt idx="1">
                  <c:v>Not Admitted</c:v>
                </c:pt>
              </c:strCache>
            </c:strRef>
          </c:cat>
          <c:val>
            <c:numRef>
              <c:f>'Pivot report'!$B$39:$B$41</c:f>
              <c:numCache>
                <c:formatCode>0</c:formatCode>
                <c:ptCount val="2"/>
                <c:pt idx="0">
                  <c:v>253</c:v>
                </c:pt>
                <c:pt idx="1">
                  <c:v>253</c:v>
                </c:pt>
              </c:numCache>
            </c:numRef>
          </c:val>
          <c:extLst>
            <c:ext xmlns:c16="http://schemas.microsoft.com/office/drawing/2014/chart" uri="{C3380CC4-5D6E-409C-BE32-E72D297353CC}">
              <c16:uniqueId val="{00000000-C675-401A-81E4-A76A26FA6936}"/>
            </c:ext>
          </c:extLst>
        </c:ser>
        <c:ser>
          <c:idx val="1"/>
          <c:order val="1"/>
          <c:tx>
            <c:strRef>
              <c:f>'Pivot report'!$C$38</c:f>
              <c:strCache>
                <c:ptCount val="1"/>
                <c:pt idx="0">
                  <c:v>Count of Patient Admission Flag2</c:v>
                </c:pt>
              </c:strCache>
            </c:strRef>
          </c:tx>
          <c:spPr>
            <a:solidFill>
              <a:schemeClr val="accent2"/>
            </a:solidFill>
            <a:ln>
              <a:noFill/>
            </a:ln>
            <a:effectLst/>
          </c:spPr>
          <c:invertIfNegative val="0"/>
          <c:cat>
            <c:strRef>
              <c:f>'Pivot report'!$A$39:$A$41</c:f>
              <c:strCache>
                <c:ptCount val="2"/>
                <c:pt idx="0">
                  <c:v>Admitted</c:v>
                </c:pt>
                <c:pt idx="1">
                  <c:v>Not Admitted</c:v>
                </c:pt>
              </c:strCache>
            </c:strRef>
          </c:cat>
          <c:val>
            <c:numRef>
              <c:f>'Pivot report'!$C$39:$C$41</c:f>
              <c:numCache>
                <c:formatCode>0.00%</c:formatCode>
                <c:ptCount val="2"/>
                <c:pt idx="0">
                  <c:v>0.5</c:v>
                </c:pt>
                <c:pt idx="1">
                  <c:v>0.5</c:v>
                </c:pt>
              </c:numCache>
            </c:numRef>
          </c:val>
          <c:extLst>
            <c:ext xmlns:c16="http://schemas.microsoft.com/office/drawing/2014/chart" uri="{C3380CC4-5D6E-409C-BE32-E72D297353CC}">
              <c16:uniqueId val="{00000001-C675-401A-81E4-A76A26FA6936}"/>
            </c:ext>
          </c:extLst>
        </c:ser>
        <c:dLbls>
          <c:showLegendKey val="0"/>
          <c:showVal val="0"/>
          <c:showCatName val="0"/>
          <c:showSerName val="0"/>
          <c:showPercent val="0"/>
          <c:showBubbleSize val="0"/>
        </c:dLbls>
        <c:gapWidth val="182"/>
        <c:axId val="701448032"/>
        <c:axId val="701443712"/>
      </c:barChart>
      <c:catAx>
        <c:axId val="701448032"/>
        <c:scaling>
          <c:orientation val="minMax"/>
        </c:scaling>
        <c:delete val="1"/>
        <c:axPos val="l"/>
        <c:numFmt formatCode="General" sourceLinked="1"/>
        <c:majorTickMark val="out"/>
        <c:minorTickMark val="none"/>
        <c:tickLblPos val="nextTo"/>
        <c:crossAx val="701443712"/>
        <c:crosses val="autoZero"/>
        <c:auto val="1"/>
        <c:lblAlgn val="ctr"/>
        <c:lblOffset val="100"/>
        <c:noMultiLvlLbl val="0"/>
      </c:catAx>
      <c:valAx>
        <c:axId val="701443712"/>
        <c:scaling>
          <c:orientation val="minMax"/>
        </c:scaling>
        <c:delete val="1"/>
        <c:axPos val="b"/>
        <c:numFmt formatCode="0" sourceLinked="1"/>
        <c:majorTickMark val="out"/>
        <c:minorTickMark val="none"/>
        <c:tickLblPos val="nextTo"/>
        <c:crossAx val="701448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18"/>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IN"/>
              <a:t>Avg satisfaction score</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69828895222835E-2"/>
          <c:y val="8.6314584174619027E-2"/>
          <c:w val="0.96879888697405214"/>
          <c:h val="0.89814814814814814"/>
        </c:manualLayout>
      </c:layout>
      <c:areaChart>
        <c:grouping val="standard"/>
        <c:varyColors val="0"/>
        <c:ser>
          <c:idx val="0"/>
          <c:order val="0"/>
          <c:tx>
            <c:strRef>
              <c:f>'Pivot report'!$J$6</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report'!$I$7:$I$38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report'!$J$7:$J$38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B7BF-4D5B-B24C-2020CEDDB04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693915216"/>
        <c:axId val="693907536"/>
      </c:areaChart>
      <c:catAx>
        <c:axId val="69391521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693907536"/>
        <c:crosses val="autoZero"/>
        <c:auto val="1"/>
        <c:lblAlgn val="ctr"/>
        <c:lblOffset val="100"/>
        <c:noMultiLvlLbl val="0"/>
      </c:catAx>
      <c:valAx>
        <c:axId val="69390753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939152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81860225671148E-2"/>
          <c:y val="0"/>
          <c:w val="0.96524061978048203"/>
          <c:h val="0.99396378078352976"/>
        </c:manualLayout>
      </c:layout>
      <c:areaChart>
        <c:grouping val="standard"/>
        <c:varyColors val="0"/>
        <c:ser>
          <c:idx val="0"/>
          <c:order val="0"/>
          <c:tx>
            <c:strRef>
              <c:f>'Pivot report'!$G$6</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report'!$F$7:$F$38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report'!$G$7:$G$38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376A-4227-A728-61BC1E4D5B27}"/>
            </c:ext>
          </c:extLst>
        </c:ser>
        <c:dLbls>
          <c:showLegendKey val="0"/>
          <c:showVal val="1"/>
          <c:showCatName val="0"/>
          <c:showSerName val="0"/>
          <c:showPercent val="0"/>
          <c:showBubbleSize val="0"/>
        </c:dLbls>
        <c:axId val="1463033040"/>
        <c:axId val="1463039760"/>
      </c:areaChart>
      <c:catAx>
        <c:axId val="1463033040"/>
        <c:scaling>
          <c:orientation val="minMax"/>
        </c:scaling>
        <c:delete val="1"/>
        <c:axPos val="b"/>
        <c:numFmt formatCode="General" sourceLinked="1"/>
        <c:majorTickMark val="out"/>
        <c:minorTickMark val="none"/>
        <c:tickLblPos val="nextTo"/>
        <c:crossAx val="1463039760"/>
        <c:crosses val="autoZero"/>
        <c:auto val="1"/>
        <c:lblAlgn val="ctr"/>
        <c:lblOffset val="100"/>
        <c:noMultiLvlLbl val="0"/>
      </c:catAx>
      <c:valAx>
        <c:axId val="1463039760"/>
        <c:scaling>
          <c:orientation val="minMax"/>
        </c:scaling>
        <c:delete val="1"/>
        <c:axPos val="l"/>
        <c:numFmt formatCode="0.00" sourceLinked="1"/>
        <c:majorTickMark val="none"/>
        <c:minorTickMark val="none"/>
        <c:tickLblPos val="nextTo"/>
        <c:crossAx val="14630330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a:t>
            </a:r>
            <a:r>
              <a:rPr lang="en-IN" baseline="0"/>
              <a:t> of patients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92880360153651E-2"/>
          <c:y val="0.14443025307455298"/>
          <c:w val="0.86291713535808023"/>
          <c:h val="0.66337201270893775"/>
        </c:manualLayout>
      </c:layout>
      <c:areaChart>
        <c:grouping val="standard"/>
        <c:varyColors val="0"/>
        <c:ser>
          <c:idx val="0"/>
          <c:order val="0"/>
          <c:tx>
            <c:v>Total</c:v>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Lit>
          </c:cat>
          <c:val>
            <c:numLit>
              <c:formatCode>General</c:formatCode>
              <c:ptCount val="30"/>
              <c:pt idx="0">
                <c:v>43</c:v>
              </c:pt>
              <c:pt idx="1">
                <c:v>27</c:v>
              </c:pt>
              <c:pt idx="2">
                <c:v>42</c:v>
              </c:pt>
              <c:pt idx="3">
                <c:v>32</c:v>
              </c:pt>
              <c:pt idx="4">
                <c:v>32</c:v>
              </c:pt>
              <c:pt idx="5">
                <c:v>28</c:v>
              </c:pt>
              <c:pt idx="6">
                <c:v>32</c:v>
              </c:pt>
              <c:pt idx="7">
                <c:v>39</c:v>
              </c:pt>
              <c:pt idx="8">
                <c:v>40</c:v>
              </c:pt>
              <c:pt idx="9">
                <c:v>31</c:v>
              </c:pt>
              <c:pt idx="10">
                <c:v>34</c:v>
              </c:pt>
              <c:pt idx="11">
                <c:v>37</c:v>
              </c:pt>
              <c:pt idx="12">
                <c:v>30</c:v>
              </c:pt>
              <c:pt idx="13">
                <c:v>25</c:v>
              </c:pt>
              <c:pt idx="14">
                <c:v>38</c:v>
              </c:pt>
              <c:pt idx="15">
                <c:v>27</c:v>
              </c:pt>
              <c:pt idx="16">
                <c:v>37</c:v>
              </c:pt>
              <c:pt idx="17">
                <c:v>33</c:v>
              </c:pt>
              <c:pt idx="18">
                <c:v>23</c:v>
              </c:pt>
              <c:pt idx="19">
                <c:v>27</c:v>
              </c:pt>
              <c:pt idx="20">
                <c:v>29</c:v>
              </c:pt>
              <c:pt idx="21">
                <c:v>38</c:v>
              </c:pt>
              <c:pt idx="22">
                <c:v>28</c:v>
              </c:pt>
              <c:pt idx="23">
                <c:v>36</c:v>
              </c:pt>
              <c:pt idx="24">
                <c:v>31</c:v>
              </c:pt>
              <c:pt idx="25">
                <c:v>34</c:v>
              </c:pt>
              <c:pt idx="26">
                <c:v>39</c:v>
              </c:pt>
              <c:pt idx="27">
                <c:v>40</c:v>
              </c:pt>
              <c:pt idx="28">
                <c:v>31</c:v>
              </c:pt>
              <c:pt idx="29">
                <c:v>28</c:v>
              </c:pt>
            </c:numLit>
          </c:val>
          <c:extLst>
            <c:ext xmlns:c16="http://schemas.microsoft.com/office/drawing/2014/chart" uri="{C3380CC4-5D6E-409C-BE32-E72D297353CC}">
              <c16:uniqueId val="{00000000-ABDC-432A-ADFF-A9C147E64BC7}"/>
            </c:ext>
          </c:extLst>
        </c:ser>
        <c:dLbls>
          <c:showLegendKey val="0"/>
          <c:showVal val="1"/>
          <c:showCatName val="0"/>
          <c:showSerName val="0"/>
          <c:showPercent val="0"/>
          <c:showBubbleSize val="0"/>
        </c:dLbls>
        <c:axId val="601463856"/>
        <c:axId val="601464336"/>
      </c:areaChart>
      <c:catAx>
        <c:axId val="601463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464336"/>
        <c:crosses val="autoZero"/>
        <c:auto val="1"/>
        <c:lblAlgn val="ctr"/>
        <c:lblOffset val="100"/>
        <c:noMultiLvlLbl val="0"/>
      </c:catAx>
      <c:valAx>
        <c:axId val="601464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463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457200"/>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chart" Target="../charts/chart1.xml"/><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7.svg"/><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image" Target="../media/image6.png"/><Relationship Id="rId4" Type="http://schemas.openxmlformats.org/officeDocument/2006/relationships/image" Target="../media/image2.png"/><Relationship Id="rId9" Type="http://schemas.openxmlformats.org/officeDocument/2006/relationships/chart" Target="../charts/chart4.xml"/><Relationship Id="rId14"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1</xdr:col>
      <xdr:colOff>7620</xdr:colOff>
      <xdr:row>1</xdr:row>
      <xdr:rowOff>15240</xdr:rowOff>
    </xdr:from>
    <xdr:to>
      <xdr:col>9</xdr:col>
      <xdr:colOff>198120</xdr:colOff>
      <xdr:row>5</xdr:row>
      <xdr:rowOff>38508</xdr:rowOff>
    </xdr:to>
    <xdr:sp macro="" textlink="">
      <xdr:nvSpPr>
        <xdr:cNvPr id="4" name="Rectangle 3">
          <a:extLst>
            <a:ext uri="{FF2B5EF4-FFF2-40B4-BE49-F238E27FC236}">
              <a16:creationId xmlns:a16="http://schemas.microsoft.com/office/drawing/2014/main" id="{66B7AE05-81DD-42AF-97D1-A9B0B5C3AC65}"/>
            </a:ext>
          </a:extLst>
        </xdr:cNvPr>
        <xdr:cNvSpPr/>
      </xdr:nvSpPr>
      <xdr:spPr>
        <a:xfrm>
          <a:off x="617220" y="198120"/>
          <a:ext cx="5067300" cy="754788"/>
        </a:xfrm>
        <a:prstGeom prst="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xdr:col>
      <xdr:colOff>50230</xdr:colOff>
      <xdr:row>1</xdr:row>
      <xdr:rowOff>30480</xdr:rowOff>
    </xdr:from>
    <xdr:to>
      <xdr:col>2</xdr:col>
      <xdr:colOff>373380</xdr:colOff>
      <xdr:row>5</xdr:row>
      <xdr:rowOff>24750</xdr:rowOff>
    </xdr:to>
    <xdr:pic>
      <xdr:nvPicPr>
        <xdr:cNvPr id="7" name="Picture 6">
          <a:extLst>
            <a:ext uri="{FF2B5EF4-FFF2-40B4-BE49-F238E27FC236}">
              <a16:creationId xmlns:a16="http://schemas.microsoft.com/office/drawing/2014/main" id="{60121398-C8FA-41E5-A90F-0DB679DABA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59830" y="213360"/>
          <a:ext cx="932750" cy="725790"/>
        </a:xfrm>
        <a:prstGeom prst="rect">
          <a:avLst/>
        </a:prstGeom>
      </xdr:spPr>
    </xdr:pic>
    <xdr:clientData/>
  </xdr:twoCellAnchor>
  <xdr:twoCellAnchor>
    <xdr:from>
      <xdr:col>2</xdr:col>
      <xdr:colOff>373380</xdr:colOff>
      <xdr:row>1</xdr:row>
      <xdr:rowOff>15240</xdr:rowOff>
    </xdr:from>
    <xdr:to>
      <xdr:col>9</xdr:col>
      <xdr:colOff>144780</xdr:colOff>
      <xdr:row>5</xdr:row>
      <xdr:rowOff>15240</xdr:rowOff>
    </xdr:to>
    <xdr:sp macro="" textlink="">
      <xdr:nvSpPr>
        <xdr:cNvPr id="8" name="TextBox 7">
          <a:extLst>
            <a:ext uri="{FF2B5EF4-FFF2-40B4-BE49-F238E27FC236}">
              <a16:creationId xmlns:a16="http://schemas.microsoft.com/office/drawing/2014/main" id="{95F38437-3667-4811-82BE-30366614B88C}"/>
            </a:ext>
          </a:extLst>
        </xdr:cNvPr>
        <xdr:cNvSpPr txBox="1"/>
      </xdr:nvSpPr>
      <xdr:spPr>
        <a:xfrm>
          <a:off x="1592580" y="198120"/>
          <a:ext cx="403860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Emergency Room Operations &amp; Patient Flow Dashboard</a:t>
          </a:r>
          <a:endParaRPr lang="en-IN" sz="1800" b="1" i="0" u="none" strike="noStrike">
            <a:solidFill>
              <a:srgbClr val="000000"/>
            </a:solidFill>
            <a:latin typeface="Calibri"/>
            <a:ea typeface="Calibri"/>
            <a:cs typeface="Calibri"/>
          </a:endParaRPr>
        </a:p>
      </xdr:txBody>
    </xdr:sp>
    <xdr:clientData/>
  </xdr:twoCellAnchor>
  <xdr:twoCellAnchor editAs="absolute">
    <xdr:from>
      <xdr:col>12</xdr:col>
      <xdr:colOff>0</xdr:colOff>
      <xdr:row>8</xdr:row>
      <xdr:rowOff>7620</xdr:rowOff>
    </xdr:from>
    <xdr:to>
      <xdr:col>14</xdr:col>
      <xdr:colOff>579120</xdr:colOff>
      <xdr:row>15</xdr:row>
      <xdr:rowOff>167640</xdr:rowOff>
    </xdr:to>
    <xdr:sp macro="" textlink="">
      <xdr:nvSpPr>
        <xdr:cNvPr id="9" name="Rectangle: Rounded Corners 8">
          <a:extLst>
            <a:ext uri="{FF2B5EF4-FFF2-40B4-BE49-F238E27FC236}">
              <a16:creationId xmlns:a16="http://schemas.microsoft.com/office/drawing/2014/main" id="{03D1CAED-37DC-4ACE-BAF9-AE1F9F303CCD}"/>
            </a:ext>
          </a:extLst>
        </xdr:cNvPr>
        <xdr:cNvSpPr/>
      </xdr:nvSpPr>
      <xdr:spPr>
        <a:xfrm>
          <a:off x="7315200" y="1470660"/>
          <a:ext cx="1798320" cy="1440180"/>
        </a:xfrm>
        <a:prstGeom prst="roundRect">
          <a:avLst>
            <a:gd name="adj" fmla="val 5094"/>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12</xdr:col>
      <xdr:colOff>15240</xdr:colOff>
      <xdr:row>1</xdr:row>
      <xdr:rowOff>1</xdr:rowOff>
    </xdr:from>
    <xdr:to>
      <xdr:col>14</xdr:col>
      <xdr:colOff>571500</xdr:colOff>
      <xdr:row>7</xdr:row>
      <xdr:rowOff>167640</xdr:rowOff>
    </xdr:to>
    <xdr:sp macro="" textlink="">
      <xdr:nvSpPr>
        <xdr:cNvPr id="10" name="Rectangle: Rounded Corners 9">
          <a:extLst>
            <a:ext uri="{FF2B5EF4-FFF2-40B4-BE49-F238E27FC236}">
              <a16:creationId xmlns:a16="http://schemas.microsoft.com/office/drawing/2014/main" id="{99F4288D-FC52-4752-892B-91B3C0340FF0}"/>
            </a:ext>
          </a:extLst>
        </xdr:cNvPr>
        <xdr:cNvSpPr/>
      </xdr:nvSpPr>
      <xdr:spPr>
        <a:xfrm>
          <a:off x="7330440" y="182881"/>
          <a:ext cx="1775460" cy="1264919"/>
        </a:xfrm>
        <a:prstGeom prst="roundRect">
          <a:avLst>
            <a:gd name="adj" fmla="val 5094"/>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167640</xdr:colOff>
      <xdr:row>14</xdr:row>
      <xdr:rowOff>144781</xdr:rowOff>
    </xdr:from>
    <xdr:to>
      <xdr:col>15</xdr:col>
      <xdr:colOff>22859</xdr:colOff>
      <xdr:row>16</xdr:row>
      <xdr:rowOff>0</xdr:rowOff>
    </xdr:to>
    <xdr:sp macro="" textlink="Monthly_report">
      <xdr:nvSpPr>
        <xdr:cNvPr id="12" name="TextBox 11">
          <a:extLst>
            <a:ext uri="{FF2B5EF4-FFF2-40B4-BE49-F238E27FC236}">
              <a16:creationId xmlns:a16="http://schemas.microsoft.com/office/drawing/2014/main" id="{2ED7F253-E7A9-4843-BB0D-E92FFCC8054B}"/>
            </a:ext>
          </a:extLst>
        </xdr:cNvPr>
        <xdr:cNvSpPr txBox="1"/>
      </xdr:nvSpPr>
      <xdr:spPr>
        <a:xfrm>
          <a:off x="7482840" y="2705101"/>
          <a:ext cx="1684019" cy="220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On-Time vs Delayed Visits</a:t>
          </a:r>
        </a:p>
      </xdr:txBody>
    </xdr:sp>
    <xdr:clientData/>
  </xdr:twoCellAnchor>
  <xdr:twoCellAnchor>
    <xdr:from>
      <xdr:col>12</xdr:col>
      <xdr:colOff>129540</xdr:colOff>
      <xdr:row>1</xdr:row>
      <xdr:rowOff>22861</xdr:rowOff>
    </xdr:from>
    <xdr:to>
      <xdr:col>14</xdr:col>
      <xdr:colOff>451196</xdr:colOff>
      <xdr:row>7</xdr:row>
      <xdr:rowOff>83820</xdr:rowOff>
    </xdr:to>
    <xdr:graphicFrame macro="">
      <xdr:nvGraphicFramePr>
        <xdr:cNvPr id="13" name="Chart 12">
          <a:extLst>
            <a:ext uri="{FF2B5EF4-FFF2-40B4-BE49-F238E27FC236}">
              <a16:creationId xmlns:a16="http://schemas.microsoft.com/office/drawing/2014/main" id="{7CB6D87B-06B6-4AE3-9333-DC9D3F878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281939</xdr:colOff>
      <xdr:row>6</xdr:row>
      <xdr:rowOff>144781</xdr:rowOff>
    </xdr:from>
    <xdr:to>
      <xdr:col>14</xdr:col>
      <xdr:colOff>471455</xdr:colOff>
      <xdr:row>8</xdr:row>
      <xdr:rowOff>66099</xdr:rowOff>
    </xdr:to>
    <xdr:sp macro="" textlink="Monthly_report">
      <xdr:nvSpPr>
        <xdr:cNvPr id="14" name="TextBox 13">
          <a:extLst>
            <a:ext uri="{FF2B5EF4-FFF2-40B4-BE49-F238E27FC236}">
              <a16:creationId xmlns:a16="http://schemas.microsoft.com/office/drawing/2014/main" id="{D51CCF8C-2589-46A1-A97F-83542DE1A6E4}"/>
            </a:ext>
          </a:extLst>
        </xdr:cNvPr>
        <xdr:cNvSpPr txBox="1"/>
      </xdr:nvSpPr>
      <xdr:spPr>
        <a:xfrm>
          <a:off x="7597139" y="1242061"/>
          <a:ext cx="1408716" cy="287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Gender Distribution</a:t>
          </a:r>
        </a:p>
      </xdr:txBody>
    </xdr:sp>
    <xdr:clientData/>
  </xdr:twoCellAnchor>
  <xdr:twoCellAnchor editAs="absolute">
    <xdr:from>
      <xdr:col>1</xdr:col>
      <xdr:colOff>7620</xdr:colOff>
      <xdr:row>5</xdr:row>
      <xdr:rowOff>45720</xdr:rowOff>
    </xdr:from>
    <xdr:to>
      <xdr:col>2</xdr:col>
      <xdr:colOff>289560</xdr:colOff>
      <xdr:row>24</xdr:row>
      <xdr:rowOff>121920</xdr:rowOff>
    </xdr:to>
    <xdr:sp macro="" textlink="">
      <xdr:nvSpPr>
        <xdr:cNvPr id="15" name="Rectangle: Rounded Corners 14">
          <a:extLst>
            <a:ext uri="{FF2B5EF4-FFF2-40B4-BE49-F238E27FC236}">
              <a16:creationId xmlns:a16="http://schemas.microsoft.com/office/drawing/2014/main" id="{8BAFE05D-73CD-4720-9987-5B999B670E6C}"/>
            </a:ext>
          </a:extLst>
        </xdr:cNvPr>
        <xdr:cNvSpPr/>
      </xdr:nvSpPr>
      <xdr:spPr>
        <a:xfrm>
          <a:off x="617220" y="960120"/>
          <a:ext cx="891540" cy="3550920"/>
        </a:xfrm>
        <a:prstGeom prst="roundRect">
          <a:avLst>
            <a:gd name="adj" fmla="val 7635"/>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2</xdr:col>
      <xdr:colOff>297180</xdr:colOff>
      <xdr:row>5</xdr:row>
      <xdr:rowOff>60960</xdr:rowOff>
    </xdr:from>
    <xdr:to>
      <xdr:col>5</xdr:col>
      <xdr:colOff>243840</xdr:colOff>
      <xdr:row>10</xdr:row>
      <xdr:rowOff>137160</xdr:rowOff>
    </xdr:to>
    <xdr:sp macro="" textlink="">
      <xdr:nvSpPr>
        <xdr:cNvPr id="17" name="Rectangle: Rounded Corners 16">
          <a:extLst>
            <a:ext uri="{FF2B5EF4-FFF2-40B4-BE49-F238E27FC236}">
              <a16:creationId xmlns:a16="http://schemas.microsoft.com/office/drawing/2014/main" id="{EE4F188C-00E3-4F7D-9BAF-07C7560E1E7A}"/>
            </a:ext>
          </a:extLst>
        </xdr:cNvPr>
        <xdr:cNvSpPr/>
      </xdr:nvSpPr>
      <xdr:spPr>
        <a:xfrm>
          <a:off x="1516380" y="975360"/>
          <a:ext cx="1775460" cy="990600"/>
        </a:xfrm>
        <a:prstGeom prst="roundRect">
          <a:avLst>
            <a:gd name="adj" fmla="val 7635"/>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5</xdr:col>
      <xdr:colOff>274320</xdr:colOff>
      <xdr:row>5</xdr:row>
      <xdr:rowOff>76201</xdr:rowOff>
    </xdr:from>
    <xdr:to>
      <xdr:col>8</xdr:col>
      <xdr:colOff>411480</xdr:colOff>
      <xdr:row>10</xdr:row>
      <xdr:rowOff>137160</xdr:rowOff>
    </xdr:to>
    <xdr:sp macro="" textlink="">
      <xdr:nvSpPr>
        <xdr:cNvPr id="19" name="Rectangle: Rounded Corners 18">
          <a:extLst>
            <a:ext uri="{FF2B5EF4-FFF2-40B4-BE49-F238E27FC236}">
              <a16:creationId xmlns:a16="http://schemas.microsoft.com/office/drawing/2014/main" id="{04F31247-E3D0-4EA9-9D26-834BEAD82F12}"/>
            </a:ext>
          </a:extLst>
        </xdr:cNvPr>
        <xdr:cNvSpPr/>
      </xdr:nvSpPr>
      <xdr:spPr>
        <a:xfrm>
          <a:off x="3322320" y="990601"/>
          <a:ext cx="1965960" cy="975359"/>
        </a:xfrm>
        <a:prstGeom prst="roundRect">
          <a:avLst>
            <a:gd name="adj" fmla="val 7635"/>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8</xdr:col>
      <xdr:colOff>419100</xdr:colOff>
      <xdr:row>5</xdr:row>
      <xdr:rowOff>76200</xdr:rowOff>
    </xdr:from>
    <xdr:to>
      <xdr:col>11</xdr:col>
      <xdr:colOff>594360</xdr:colOff>
      <xdr:row>10</xdr:row>
      <xdr:rowOff>152400</xdr:rowOff>
    </xdr:to>
    <xdr:sp macro="" textlink="">
      <xdr:nvSpPr>
        <xdr:cNvPr id="20" name="Rectangle: Rounded Corners 19">
          <a:extLst>
            <a:ext uri="{FF2B5EF4-FFF2-40B4-BE49-F238E27FC236}">
              <a16:creationId xmlns:a16="http://schemas.microsoft.com/office/drawing/2014/main" id="{CB3CEB7E-9556-4786-9D7F-6EC7AA925D64}"/>
            </a:ext>
          </a:extLst>
        </xdr:cNvPr>
        <xdr:cNvSpPr/>
      </xdr:nvSpPr>
      <xdr:spPr>
        <a:xfrm>
          <a:off x="5295900" y="990600"/>
          <a:ext cx="2004060" cy="990600"/>
        </a:xfrm>
        <a:prstGeom prst="roundRect">
          <a:avLst>
            <a:gd name="adj" fmla="val 7635"/>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76200</xdr:colOff>
      <xdr:row>8</xdr:row>
      <xdr:rowOff>76200</xdr:rowOff>
    </xdr:from>
    <xdr:to>
      <xdr:col>14</xdr:col>
      <xdr:colOff>510540</xdr:colOff>
      <xdr:row>15</xdr:row>
      <xdr:rowOff>60960</xdr:rowOff>
    </xdr:to>
    <xdr:graphicFrame macro="">
      <xdr:nvGraphicFramePr>
        <xdr:cNvPr id="21" name="Chart 20">
          <a:extLst>
            <a:ext uri="{FF2B5EF4-FFF2-40B4-BE49-F238E27FC236}">
              <a16:creationId xmlns:a16="http://schemas.microsoft.com/office/drawing/2014/main" id="{640D031B-E12B-4C0E-85A3-0184E65ED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228600</xdr:colOff>
      <xdr:row>1</xdr:row>
      <xdr:rowOff>30481</xdr:rowOff>
    </xdr:from>
    <xdr:to>
      <xdr:col>12</xdr:col>
      <xdr:colOff>7620</xdr:colOff>
      <xdr:row>5</xdr:row>
      <xdr:rowOff>45720</xdr:rowOff>
    </xdr:to>
    <xdr:sp macro="" textlink="">
      <xdr:nvSpPr>
        <xdr:cNvPr id="22" name="Rectangle: Rounded Corners 21">
          <a:extLst>
            <a:ext uri="{FF2B5EF4-FFF2-40B4-BE49-F238E27FC236}">
              <a16:creationId xmlns:a16="http://schemas.microsoft.com/office/drawing/2014/main" id="{EBD80570-D796-44E5-B98F-29F80EB97103}"/>
            </a:ext>
          </a:extLst>
        </xdr:cNvPr>
        <xdr:cNvSpPr/>
      </xdr:nvSpPr>
      <xdr:spPr>
        <a:xfrm>
          <a:off x="5715000" y="213361"/>
          <a:ext cx="1607820" cy="746759"/>
        </a:xfrm>
        <a:prstGeom prst="roundRect">
          <a:avLst>
            <a:gd name="adj" fmla="val 7635"/>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350520</xdr:colOff>
      <xdr:row>5</xdr:row>
      <xdr:rowOff>38100</xdr:rowOff>
    </xdr:from>
    <xdr:to>
      <xdr:col>4</xdr:col>
      <xdr:colOff>579120</xdr:colOff>
      <xdr:row>6</xdr:row>
      <xdr:rowOff>179450</xdr:rowOff>
    </xdr:to>
    <xdr:sp macro="" textlink="Monthly_report">
      <xdr:nvSpPr>
        <xdr:cNvPr id="24" name="TextBox 23">
          <a:extLst>
            <a:ext uri="{FF2B5EF4-FFF2-40B4-BE49-F238E27FC236}">
              <a16:creationId xmlns:a16="http://schemas.microsoft.com/office/drawing/2014/main" id="{EF0D4470-0541-4DF3-8F95-98B78CF2D1CF}"/>
            </a:ext>
          </a:extLst>
        </xdr:cNvPr>
        <xdr:cNvSpPr txBox="1"/>
      </xdr:nvSpPr>
      <xdr:spPr>
        <a:xfrm>
          <a:off x="1569720" y="952500"/>
          <a:ext cx="1447800" cy="324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Patients</a:t>
          </a:r>
        </a:p>
      </xdr:txBody>
    </xdr:sp>
    <xdr:clientData/>
  </xdr:twoCellAnchor>
  <xdr:twoCellAnchor>
    <xdr:from>
      <xdr:col>2</xdr:col>
      <xdr:colOff>525780</xdr:colOff>
      <xdr:row>6</xdr:row>
      <xdr:rowOff>22860</xdr:rowOff>
    </xdr:from>
    <xdr:to>
      <xdr:col>4</xdr:col>
      <xdr:colOff>129540</xdr:colOff>
      <xdr:row>8</xdr:row>
      <xdr:rowOff>53340</xdr:rowOff>
    </xdr:to>
    <xdr:sp macro="" textlink="Monthly_report">
      <xdr:nvSpPr>
        <xdr:cNvPr id="25" name="TextBox 24">
          <a:extLst>
            <a:ext uri="{FF2B5EF4-FFF2-40B4-BE49-F238E27FC236}">
              <a16:creationId xmlns:a16="http://schemas.microsoft.com/office/drawing/2014/main" id="{7805B847-DBEA-436E-946F-549AAE1B39F4}"/>
            </a:ext>
          </a:extLst>
        </xdr:cNvPr>
        <xdr:cNvSpPr txBox="1"/>
      </xdr:nvSpPr>
      <xdr:spPr>
        <a:xfrm>
          <a:off x="1744980" y="1120140"/>
          <a:ext cx="8229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40A12B-E6E9-4424-A186-101B00D4D05D}" type="TxLink">
            <a:rPr lang="en-US" sz="2400" b="0" i="0" u="none" strike="noStrike">
              <a:solidFill>
                <a:srgbClr val="000000"/>
              </a:solidFill>
              <a:latin typeface="Calibri"/>
              <a:ea typeface="Calibri"/>
              <a:cs typeface="Calibri"/>
            </a:rPr>
            <a:pPr/>
            <a:t>506</a:t>
          </a:fld>
          <a:endParaRPr lang="en-IN" sz="2400"/>
        </a:p>
      </xdr:txBody>
    </xdr:sp>
    <xdr:clientData/>
  </xdr:twoCellAnchor>
  <xdr:twoCellAnchor editAs="oneCell">
    <xdr:from>
      <xdr:col>4</xdr:col>
      <xdr:colOff>350520</xdr:colOff>
      <xdr:row>5</xdr:row>
      <xdr:rowOff>68580</xdr:rowOff>
    </xdr:from>
    <xdr:to>
      <xdr:col>5</xdr:col>
      <xdr:colOff>158570</xdr:colOff>
      <xdr:row>7</xdr:row>
      <xdr:rowOff>120017</xdr:rowOff>
    </xdr:to>
    <xdr:pic>
      <xdr:nvPicPr>
        <xdr:cNvPr id="26" name="Graphic 25" descr="User with solid fill">
          <a:extLst>
            <a:ext uri="{FF2B5EF4-FFF2-40B4-BE49-F238E27FC236}">
              <a16:creationId xmlns:a16="http://schemas.microsoft.com/office/drawing/2014/main" id="{9A0F8376-5F38-45F9-9889-36AC1B33D1E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788920" y="982980"/>
          <a:ext cx="417650" cy="417197"/>
        </a:xfrm>
        <a:prstGeom prst="rect">
          <a:avLst/>
        </a:prstGeom>
      </xdr:spPr>
    </xdr:pic>
    <xdr:clientData/>
  </xdr:twoCellAnchor>
  <xdr:twoCellAnchor>
    <xdr:from>
      <xdr:col>2</xdr:col>
      <xdr:colOff>358140</xdr:colOff>
      <xdr:row>7</xdr:row>
      <xdr:rowOff>106680</xdr:rowOff>
    </xdr:from>
    <xdr:to>
      <xdr:col>5</xdr:col>
      <xdr:colOff>251460</xdr:colOff>
      <xdr:row>10</xdr:row>
      <xdr:rowOff>137160</xdr:rowOff>
    </xdr:to>
    <xdr:graphicFrame macro="">
      <xdr:nvGraphicFramePr>
        <xdr:cNvPr id="27" name="Chart 26">
          <a:extLst>
            <a:ext uri="{FF2B5EF4-FFF2-40B4-BE49-F238E27FC236}">
              <a16:creationId xmlns:a16="http://schemas.microsoft.com/office/drawing/2014/main" id="{E9E81F78-B06D-4AAF-A8DB-B3E5C2A3D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7620</xdr:colOff>
      <xdr:row>5</xdr:row>
      <xdr:rowOff>45720</xdr:rowOff>
    </xdr:from>
    <xdr:to>
      <xdr:col>2</xdr:col>
      <xdr:colOff>249450</xdr:colOff>
      <xdr:row>24</xdr:row>
      <xdr:rowOff>99060</xdr:rowOff>
    </xdr:to>
    <mc:AlternateContent xmlns:mc="http://schemas.openxmlformats.org/markup-compatibility/2006" xmlns:a14="http://schemas.microsoft.com/office/drawing/2010/main">
      <mc:Choice Requires="a14">
        <xdr:graphicFrame macro="">
          <xdr:nvGraphicFramePr>
            <xdr:cNvPr id="28" name="Date (Month)">
              <a:extLst>
                <a:ext uri="{FF2B5EF4-FFF2-40B4-BE49-F238E27FC236}">
                  <a16:creationId xmlns:a16="http://schemas.microsoft.com/office/drawing/2014/main" id="{21E6B5C8-6A07-47E9-97A8-67E33E66038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17220" y="960120"/>
              <a:ext cx="851430" cy="3528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228600</xdr:colOff>
      <xdr:row>1</xdr:row>
      <xdr:rowOff>30481</xdr:rowOff>
    </xdr:from>
    <xdr:to>
      <xdr:col>11</xdr:col>
      <xdr:colOff>586740</xdr:colOff>
      <xdr:row>5</xdr:row>
      <xdr:rowOff>38100</xdr:rowOff>
    </xdr:to>
    <mc:AlternateContent xmlns:mc="http://schemas.openxmlformats.org/markup-compatibility/2006" xmlns:a14="http://schemas.microsoft.com/office/drawing/2010/main">
      <mc:Choice Requires="a14">
        <xdr:graphicFrame macro="">
          <xdr:nvGraphicFramePr>
            <xdr:cNvPr id="29" name="Date (Year)">
              <a:extLst>
                <a:ext uri="{FF2B5EF4-FFF2-40B4-BE49-F238E27FC236}">
                  <a16:creationId xmlns:a16="http://schemas.microsoft.com/office/drawing/2014/main" id="{316F5398-282C-410C-82E7-C4FA480FDF6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715000" y="213361"/>
              <a:ext cx="1577340" cy="739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198120</xdr:colOff>
      <xdr:row>5</xdr:row>
      <xdr:rowOff>45720</xdr:rowOff>
    </xdr:from>
    <xdr:to>
      <xdr:col>8</xdr:col>
      <xdr:colOff>129540</xdr:colOff>
      <xdr:row>9</xdr:row>
      <xdr:rowOff>0</xdr:rowOff>
    </xdr:to>
    <xdr:sp macro="" textlink="Monthly_report">
      <xdr:nvSpPr>
        <xdr:cNvPr id="30" name="TextBox 29">
          <a:extLst>
            <a:ext uri="{FF2B5EF4-FFF2-40B4-BE49-F238E27FC236}">
              <a16:creationId xmlns:a16="http://schemas.microsoft.com/office/drawing/2014/main" id="{7A1CF3FB-0173-4150-9D11-DD33C1344D54}"/>
            </a:ext>
          </a:extLst>
        </xdr:cNvPr>
        <xdr:cNvSpPr txBox="1"/>
      </xdr:nvSpPr>
      <xdr:spPr>
        <a:xfrm>
          <a:off x="3246120" y="960120"/>
          <a:ext cx="176022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t>Average Waiting Time (mins)</a:t>
          </a:r>
          <a:endParaRPr lang="en-IN" sz="1600">
            <a:solidFill>
              <a:schemeClr val="dk1"/>
            </a:solidFill>
            <a:latin typeface="+mn-lt"/>
            <a:ea typeface="+mn-ea"/>
            <a:cs typeface="+mn-cs"/>
          </a:endParaRPr>
        </a:p>
      </xdr:txBody>
    </xdr:sp>
    <xdr:clientData/>
  </xdr:twoCellAnchor>
  <xdr:twoCellAnchor>
    <xdr:from>
      <xdr:col>6</xdr:col>
      <xdr:colOff>594360</xdr:colOff>
      <xdr:row>6</xdr:row>
      <xdr:rowOff>30480</xdr:rowOff>
    </xdr:from>
    <xdr:to>
      <xdr:col>8</xdr:col>
      <xdr:colOff>464820</xdr:colOff>
      <xdr:row>8</xdr:row>
      <xdr:rowOff>114300</xdr:rowOff>
    </xdr:to>
    <xdr:sp macro="" textlink="waittime">
      <xdr:nvSpPr>
        <xdr:cNvPr id="31" name="TextBox 30">
          <a:extLst>
            <a:ext uri="{FF2B5EF4-FFF2-40B4-BE49-F238E27FC236}">
              <a16:creationId xmlns:a16="http://schemas.microsoft.com/office/drawing/2014/main" id="{924D4B4B-06E2-4FE1-A6EA-50181924D43A}"/>
            </a:ext>
          </a:extLst>
        </xdr:cNvPr>
        <xdr:cNvSpPr txBox="1"/>
      </xdr:nvSpPr>
      <xdr:spPr>
        <a:xfrm>
          <a:off x="4251960" y="1127760"/>
          <a:ext cx="10896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273116-FC17-4224-8F93-1D046810D90B}" type="TxLink">
            <a:rPr lang="en-US" sz="2400" b="0" i="0" u="none" strike="noStrike">
              <a:solidFill>
                <a:srgbClr val="000000"/>
              </a:solidFill>
              <a:latin typeface="Calibri"/>
              <a:ea typeface="Calibri"/>
              <a:cs typeface="Calibri"/>
            </a:rPr>
            <a:pPr marL="0" indent="0"/>
            <a:t>35.88</a:t>
          </a:fld>
          <a:endParaRPr lang="en-IN" sz="2400" b="0" i="0" u="none" strike="noStrike">
            <a:solidFill>
              <a:srgbClr val="000000"/>
            </a:solidFill>
            <a:latin typeface="Calibri"/>
            <a:ea typeface="Calibri"/>
            <a:cs typeface="Calibri"/>
          </a:endParaRPr>
        </a:p>
      </xdr:txBody>
    </xdr:sp>
    <xdr:clientData/>
  </xdr:twoCellAnchor>
  <xdr:twoCellAnchor editAs="oneCell">
    <xdr:from>
      <xdr:col>8</xdr:col>
      <xdr:colOff>121920</xdr:colOff>
      <xdr:row>5</xdr:row>
      <xdr:rowOff>76199</xdr:rowOff>
    </xdr:from>
    <xdr:to>
      <xdr:col>8</xdr:col>
      <xdr:colOff>446341</xdr:colOff>
      <xdr:row>7</xdr:row>
      <xdr:rowOff>45578</xdr:rowOff>
    </xdr:to>
    <xdr:pic>
      <xdr:nvPicPr>
        <xdr:cNvPr id="32" name="Graphic 31" descr="Hourglass Finished with solid fill">
          <a:extLst>
            <a:ext uri="{FF2B5EF4-FFF2-40B4-BE49-F238E27FC236}">
              <a16:creationId xmlns:a16="http://schemas.microsoft.com/office/drawing/2014/main" id="{4F315661-AAEF-480A-B983-756F2D57693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998720" y="990599"/>
          <a:ext cx="324421" cy="335139"/>
        </a:xfrm>
        <a:prstGeom prst="rect">
          <a:avLst/>
        </a:prstGeom>
      </xdr:spPr>
    </xdr:pic>
    <xdr:clientData/>
  </xdr:twoCellAnchor>
  <xdr:twoCellAnchor>
    <xdr:from>
      <xdr:col>5</xdr:col>
      <xdr:colOff>350520</xdr:colOff>
      <xdr:row>8</xdr:row>
      <xdr:rowOff>30480</xdr:rowOff>
    </xdr:from>
    <xdr:to>
      <xdr:col>8</xdr:col>
      <xdr:colOff>373380</xdr:colOff>
      <xdr:row>9</xdr:row>
      <xdr:rowOff>137160</xdr:rowOff>
    </xdr:to>
    <xdr:graphicFrame macro="">
      <xdr:nvGraphicFramePr>
        <xdr:cNvPr id="33" name="Chart 32">
          <a:extLst>
            <a:ext uri="{FF2B5EF4-FFF2-40B4-BE49-F238E27FC236}">
              <a16:creationId xmlns:a16="http://schemas.microsoft.com/office/drawing/2014/main" id="{93197341-6EBA-4546-B306-43FEA9EFE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419100</xdr:colOff>
      <xdr:row>5</xdr:row>
      <xdr:rowOff>15240</xdr:rowOff>
    </xdr:from>
    <xdr:to>
      <xdr:col>11</xdr:col>
      <xdr:colOff>553795</xdr:colOff>
      <xdr:row>8</xdr:row>
      <xdr:rowOff>99060</xdr:rowOff>
    </xdr:to>
    <xdr:sp macro="" textlink="Monthly_report">
      <xdr:nvSpPr>
        <xdr:cNvPr id="34" name="TextBox 33">
          <a:extLst>
            <a:ext uri="{FF2B5EF4-FFF2-40B4-BE49-F238E27FC236}">
              <a16:creationId xmlns:a16="http://schemas.microsoft.com/office/drawing/2014/main" id="{50D588FE-8140-447F-AE29-C74BAD5FE2BB}"/>
            </a:ext>
          </a:extLst>
        </xdr:cNvPr>
        <xdr:cNvSpPr txBox="1"/>
      </xdr:nvSpPr>
      <xdr:spPr>
        <a:xfrm>
          <a:off x="5295900" y="929640"/>
          <a:ext cx="1963495"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600"/>
            <a:t>Patient Satisfaction Score</a:t>
          </a:r>
          <a:endParaRPr lang="en-IN" sz="1600">
            <a:solidFill>
              <a:schemeClr val="dk1"/>
            </a:solidFill>
            <a:latin typeface="+mn-lt"/>
            <a:ea typeface="+mn-ea"/>
            <a:cs typeface="+mn-cs"/>
          </a:endParaRPr>
        </a:p>
      </xdr:txBody>
    </xdr:sp>
    <xdr:clientData/>
  </xdr:twoCellAnchor>
  <xdr:twoCellAnchor editAs="oneCell">
    <xdr:from>
      <xdr:col>11</xdr:col>
      <xdr:colOff>243840</xdr:colOff>
      <xdr:row>5</xdr:row>
      <xdr:rowOff>129540</xdr:rowOff>
    </xdr:from>
    <xdr:to>
      <xdr:col>12</xdr:col>
      <xdr:colOff>34095</xdr:colOff>
      <xdr:row>7</xdr:row>
      <xdr:rowOff>162299</xdr:rowOff>
    </xdr:to>
    <xdr:pic>
      <xdr:nvPicPr>
        <xdr:cNvPr id="35" name="Graphic 34" descr="Star with solid fill">
          <a:extLst>
            <a:ext uri="{FF2B5EF4-FFF2-40B4-BE49-F238E27FC236}">
              <a16:creationId xmlns:a16="http://schemas.microsoft.com/office/drawing/2014/main" id="{12C06985-A6B0-422D-9D95-D620B108F2F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949440" y="1043940"/>
          <a:ext cx="399855" cy="398519"/>
        </a:xfrm>
        <a:prstGeom prst="rect">
          <a:avLst/>
        </a:prstGeom>
      </xdr:spPr>
    </xdr:pic>
    <xdr:clientData/>
  </xdr:twoCellAnchor>
  <xdr:twoCellAnchor>
    <xdr:from>
      <xdr:col>9</xdr:col>
      <xdr:colOff>403860</xdr:colOff>
      <xdr:row>6</xdr:row>
      <xdr:rowOff>30480</xdr:rowOff>
    </xdr:from>
    <xdr:to>
      <xdr:col>11</xdr:col>
      <xdr:colOff>211457</xdr:colOff>
      <xdr:row>9</xdr:row>
      <xdr:rowOff>1468</xdr:rowOff>
    </xdr:to>
    <xdr:sp macro="" textlink="time">
      <xdr:nvSpPr>
        <xdr:cNvPr id="36" name="TextBox 35">
          <a:extLst>
            <a:ext uri="{FF2B5EF4-FFF2-40B4-BE49-F238E27FC236}">
              <a16:creationId xmlns:a16="http://schemas.microsoft.com/office/drawing/2014/main" id="{D448FB42-116D-4E50-9B75-DC3D7A3F84A2}"/>
            </a:ext>
          </a:extLst>
        </xdr:cNvPr>
        <xdr:cNvSpPr txBox="1"/>
      </xdr:nvSpPr>
      <xdr:spPr>
        <a:xfrm>
          <a:off x="5890260" y="1127760"/>
          <a:ext cx="1026797" cy="519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7DCDF71-CCC6-4840-A813-50B48F0C4197}" type="TxLink">
            <a:rPr lang="en-US" sz="2400" b="0" i="0" u="none" strike="noStrike">
              <a:solidFill>
                <a:srgbClr val="000000"/>
              </a:solidFill>
              <a:latin typeface="Calibri"/>
              <a:ea typeface="Calibri"/>
              <a:cs typeface="Calibri"/>
            </a:rPr>
            <a:pPr marL="0" indent="0"/>
            <a:t>5.33</a:t>
          </a:fld>
          <a:endParaRPr lang="en-IN" sz="2400" b="0" i="0" u="none" strike="noStrike">
            <a:solidFill>
              <a:srgbClr val="000000"/>
            </a:solidFill>
            <a:latin typeface="Calibri"/>
            <a:ea typeface="Calibri"/>
            <a:cs typeface="Calibri"/>
          </a:endParaRPr>
        </a:p>
      </xdr:txBody>
    </xdr:sp>
    <xdr:clientData/>
  </xdr:twoCellAnchor>
  <xdr:twoCellAnchor>
    <xdr:from>
      <xdr:col>8</xdr:col>
      <xdr:colOff>350520</xdr:colOff>
      <xdr:row>5</xdr:row>
      <xdr:rowOff>167640</xdr:rowOff>
    </xdr:from>
    <xdr:to>
      <xdr:col>12</xdr:col>
      <xdr:colOff>15240</xdr:colOff>
      <xdr:row>10</xdr:row>
      <xdr:rowOff>152400</xdr:rowOff>
    </xdr:to>
    <xdr:graphicFrame macro="">
      <xdr:nvGraphicFramePr>
        <xdr:cNvPr id="37" name="Chart 36">
          <a:extLst>
            <a:ext uri="{FF2B5EF4-FFF2-40B4-BE49-F238E27FC236}">
              <a16:creationId xmlns:a16="http://schemas.microsoft.com/office/drawing/2014/main" id="{A9AB3A68-D808-4D65-B00F-0FA8C7A5E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9</xdr:col>
      <xdr:colOff>601980</xdr:colOff>
      <xdr:row>16</xdr:row>
      <xdr:rowOff>22860</xdr:rowOff>
    </xdr:from>
    <xdr:to>
      <xdr:col>14</xdr:col>
      <xdr:colOff>586739</xdr:colOff>
      <xdr:row>24</xdr:row>
      <xdr:rowOff>129540</xdr:rowOff>
    </xdr:to>
    <xdr:sp macro="" textlink="">
      <xdr:nvSpPr>
        <xdr:cNvPr id="38" name="Rectangle: Rounded Corners 37">
          <a:extLst>
            <a:ext uri="{FF2B5EF4-FFF2-40B4-BE49-F238E27FC236}">
              <a16:creationId xmlns:a16="http://schemas.microsoft.com/office/drawing/2014/main" id="{EE265A2C-B042-45B7-B323-7E1D9115C005}"/>
            </a:ext>
          </a:extLst>
        </xdr:cNvPr>
        <xdr:cNvSpPr/>
      </xdr:nvSpPr>
      <xdr:spPr>
        <a:xfrm>
          <a:off x="6088380" y="2948940"/>
          <a:ext cx="3032759" cy="1569720"/>
        </a:xfrm>
        <a:prstGeom prst="roundRect">
          <a:avLst>
            <a:gd name="adj" fmla="val 3479"/>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83820</xdr:colOff>
      <xdr:row>16</xdr:row>
      <xdr:rowOff>38100</xdr:rowOff>
    </xdr:from>
    <xdr:to>
      <xdr:col>14</xdr:col>
      <xdr:colOff>472440</xdr:colOff>
      <xdr:row>24</xdr:row>
      <xdr:rowOff>91440</xdr:rowOff>
    </xdr:to>
    <xdr:graphicFrame macro="">
      <xdr:nvGraphicFramePr>
        <xdr:cNvPr id="39" name="Chart 38">
          <a:extLst>
            <a:ext uri="{FF2B5EF4-FFF2-40B4-BE49-F238E27FC236}">
              <a16:creationId xmlns:a16="http://schemas.microsoft.com/office/drawing/2014/main" id="{6CF509B4-841F-416B-8C21-DFC423CEE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495301</xdr:colOff>
      <xdr:row>23</xdr:row>
      <xdr:rowOff>76200</xdr:rowOff>
    </xdr:from>
    <xdr:to>
      <xdr:col>14</xdr:col>
      <xdr:colOff>407165</xdr:colOff>
      <xdr:row>25</xdr:row>
      <xdr:rowOff>34670</xdr:rowOff>
    </xdr:to>
    <xdr:sp macro="" textlink="Monthly_report">
      <xdr:nvSpPr>
        <xdr:cNvPr id="40" name="TextBox 39">
          <a:extLst>
            <a:ext uri="{FF2B5EF4-FFF2-40B4-BE49-F238E27FC236}">
              <a16:creationId xmlns:a16="http://schemas.microsoft.com/office/drawing/2014/main" id="{0E0E1571-829B-42A0-97E3-334D2F4C531B}"/>
            </a:ext>
          </a:extLst>
        </xdr:cNvPr>
        <xdr:cNvSpPr txBox="1"/>
      </xdr:nvSpPr>
      <xdr:spPr>
        <a:xfrm>
          <a:off x="6591301" y="4282440"/>
          <a:ext cx="2350264" cy="324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Patients by Department Referral</a:t>
          </a:r>
          <a:endParaRPr lang="en-IN" sz="1000" baseline="0"/>
        </a:p>
      </xdr:txBody>
    </xdr:sp>
    <xdr:clientData/>
  </xdr:twoCellAnchor>
  <xdr:twoCellAnchor editAs="absolute">
    <xdr:from>
      <xdr:col>2</xdr:col>
      <xdr:colOff>297179</xdr:colOff>
      <xdr:row>16</xdr:row>
      <xdr:rowOff>15240</xdr:rowOff>
    </xdr:from>
    <xdr:to>
      <xdr:col>9</xdr:col>
      <xdr:colOff>594360</xdr:colOff>
      <xdr:row>24</xdr:row>
      <xdr:rowOff>137159</xdr:rowOff>
    </xdr:to>
    <xdr:sp macro="" textlink="">
      <xdr:nvSpPr>
        <xdr:cNvPr id="2" name="Rectangle: Rounded Corners 40">
          <a:extLst>
            <a:ext uri="{FF2B5EF4-FFF2-40B4-BE49-F238E27FC236}">
              <a16:creationId xmlns:a16="http://schemas.microsoft.com/office/drawing/2014/main" id="{6B73FB99-BC1B-4A2B-A427-CCC7D2C45AF9}"/>
            </a:ext>
          </a:extLst>
        </xdr:cNvPr>
        <xdr:cNvSpPr/>
      </xdr:nvSpPr>
      <xdr:spPr>
        <a:xfrm>
          <a:off x="1516379" y="2941320"/>
          <a:ext cx="4564381" cy="1584959"/>
        </a:xfrm>
        <a:prstGeom prst="roundRect">
          <a:avLst>
            <a:gd name="adj" fmla="val 6617"/>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198121</xdr:colOff>
      <xdr:row>16</xdr:row>
      <xdr:rowOff>45720</xdr:rowOff>
    </xdr:from>
    <xdr:to>
      <xdr:col>9</xdr:col>
      <xdr:colOff>571500</xdr:colOff>
      <xdr:row>22</xdr:row>
      <xdr:rowOff>175260</xdr:rowOff>
    </xdr:to>
    <xdr:graphicFrame macro="">
      <xdr:nvGraphicFramePr>
        <xdr:cNvPr id="42" name="Chart 41">
          <a:extLst>
            <a:ext uri="{FF2B5EF4-FFF2-40B4-BE49-F238E27FC236}">
              <a16:creationId xmlns:a16="http://schemas.microsoft.com/office/drawing/2014/main" id="{8479140D-8A31-459C-9FA3-0E61E275F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15240</xdr:colOff>
      <xdr:row>23</xdr:row>
      <xdr:rowOff>45720</xdr:rowOff>
    </xdr:from>
    <xdr:to>
      <xdr:col>8</xdr:col>
      <xdr:colOff>213360</xdr:colOff>
      <xdr:row>25</xdr:row>
      <xdr:rowOff>4190</xdr:rowOff>
    </xdr:to>
    <xdr:sp macro="" textlink="Monthly_report">
      <xdr:nvSpPr>
        <xdr:cNvPr id="43" name="TextBox 42">
          <a:extLst>
            <a:ext uri="{FF2B5EF4-FFF2-40B4-BE49-F238E27FC236}">
              <a16:creationId xmlns:a16="http://schemas.microsoft.com/office/drawing/2014/main" id="{AB89AF01-E602-489A-8AF5-7322ED4C3FD3}"/>
            </a:ext>
          </a:extLst>
        </xdr:cNvPr>
        <xdr:cNvSpPr txBox="1"/>
      </xdr:nvSpPr>
      <xdr:spPr>
        <a:xfrm>
          <a:off x="3063240" y="4251960"/>
          <a:ext cx="2026920" cy="324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Patient Count by Age Group</a:t>
          </a:r>
        </a:p>
      </xdr:txBody>
    </xdr:sp>
    <xdr:clientData/>
  </xdr:twoCellAnchor>
  <mc:AlternateContent xmlns:mc="http://schemas.openxmlformats.org/markup-compatibility/2006">
    <mc:Choice xmlns:a14="http://schemas.microsoft.com/office/drawing/2010/main" Requires="a14">
      <xdr:twoCellAnchor editAs="oneCell">
        <xdr:from>
          <xdr:col>2</xdr:col>
          <xdr:colOff>289560</xdr:colOff>
          <xdr:row>10</xdr:row>
          <xdr:rowOff>167640</xdr:rowOff>
        </xdr:from>
        <xdr:to>
          <xdr:col>11</xdr:col>
          <xdr:colOff>579120</xdr:colOff>
          <xdr:row>16</xdr:row>
          <xdr:rowOff>0</xdr:rowOff>
        </xdr:to>
        <xdr:pic>
          <xdr:nvPicPr>
            <xdr:cNvPr id="8207" name="Picture 15">
              <a:extLst>
                <a:ext uri="{FF2B5EF4-FFF2-40B4-BE49-F238E27FC236}">
                  <a16:creationId xmlns:a16="http://schemas.microsoft.com/office/drawing/2014/main" id="{B034F2FD-3670-B90C-BF4D-0E211A597AA6}"/>
                </a:ext>
              </a:extLst>
            </xdr:cNvPr>
            <xdr:cNvPicPr>
              <a:picLocks noChangeAspect="1" noChangeArrowheads="1"/>
              <a:extLst>
                <a:ext uri="{84589F7E-364E-4C9E-8A38-B11213B215E9}">
                  <a14:cameraTool cellRange="'Pivot report'!$A$43:$D$45" spid="_x0000_s8222"/>
                </a:ext>
              </a:extLst>
            </xdr:cNvPicPr>
          </xdr:nvPicPr>
          <xdr:blipFill>
            <a:blip xmlns:r="http://schemas.openxmlformats.org/officeDocument/2006/relationships" r:embed="rId15"/>
            <a:srcRect/>
            <a:stretch>
              <a:fillRect/>
            </a:stretch>
          </xdr:blipFill>
          <xdr:spPr bwMode="auto">
            <a:xfrm>
              <a:off x="1508760" y="1996440"/>
              <a:ext cx="5775960" cy="9296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274320</xdr:colOff>
      <xdr:row>8</xdr:row>
      <xdr:rowOff>22860</xdr:rowOff>
    </xdr:from>
    <xdr:to>
      <xdr:col>8</xdr:col>
      <xdr:colOff>388620</xdr:colOff>
      <xdr:row>10</xdr:row>
      <xdr:rowOff>91440</xdr:rowOff>
    </xdr:to>
    <xdr:graphicFrame macro="">
      <xdr:nvGraphicFramePr>
        <xdr:cNvPr id="3" name="Chart 2">
          <a:extLst>
            <a:ext uri="{FF2B5EF4-FFF2-40B4-BE49-F238E27FC236}">
              <a16:creationId xmlns:a16="http://schemas.microsoft.com/office/drawing/2014/main" id="{106A3535-6AEE-43AE-8614-6CE8307EB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121477</xdr:colOff>
      <xdr:row>42</xdr:row>
      <xdr:rowOff>22088</xdr:rowOff>
    </xdr:from>
    <xdr:to>
      <xdr:col>3</xdr:col>
      <xdr:colOff>1457739</xdr:colOff>
      <xdr:row>45</xdr:row>
      <xdr:rowOff>165654</xdr:rowOff>
    </xdr:to>
    <xdr:graphicFrame macro="">
      <xdr:nvGraphicFramePr>
        <xdr:cNvPr id="7" name="Chart 6">
          <a:extLst>
            <a:ext uri="{FF2B5EF4-FFF2-40B4-BE49-F238E27FC236}">
              <a16:creationId xmlns:a16="http://schemas.microsoft.com/office/drawing/2014/main" id="{EA0C3477-A384-9CD5-FD99-A48723887B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0</xdr:rowOff>
    </xdr:from>
    <xdr:to>
      <xdr:col>8</xdr:col>
      <xdr:colOff>152400</xdr:colOff>
      <xdr:row>14</xdr:row>
      <xdr:rowOff>91440</xdr:rowOff>
    </xdr:to>
    <xdr:graphicFrame macro="">
      <xdr:nvGraphicFramePr>
        <xdr:cNvPr id="2" name="Chart 1">
          <a:extLst>
            <a:ext uri="{FF2B5EF4-FFF2-40B4-BE49-F238E27FC236}">
              <a16:creationId xmlns:a16="http://schemas.microsoft.com/office/drawing/2014/main" id="{A44EB88B-5F25-4DB2-A06A-B58DC55782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4</xdr:row>
      <xdr:rowOff>0</xdr:rowOff>
    </xdr:from>
    <xdr:to>
      <xdr:col>10</xdr:col>
      <xdr:colOff>518160</xdr:colOff>
      <xdr:row>19</xdr:row>
      <xdr:rowOff>91440</xdr:rowOff>
    </xdr:to>
    <xdr:graphicFrame macro="">
      <xdr:nvGraphicFramePr>
        <xdr:cNvPr id="2" name="Chart 1">
          <a:extLst>
            <a:ext uri="{FF2B5EF4-FFF2-40B4-BE49-F238E27FC236}">
              <a16:creationId xmlns:a16="http://schemas.microsoft.com/office/drawing/2014/main" id="{665158EB-54C6-4FE7-BBD4-1D58D1D5D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335280</xdr:colOff>
      <xdr:row>12</xdr:row>
      <xdr:rowOff>83820</xdr:rowOff>
    </xdr:to>
    <xdr:graphicFrame macro="">
      <xdr:nvGraphicFramePr>
        <xdr:cNvPr id="2" name="Chart 1">
          <a:extLst>
            <a:ext uri="{FF2B5EF4-FFF2-40B4-BE49-F238E27FC236}">
              <a16:creationId xmlns:a16="http://schemas.microsoft.com/office/drawing/2014/main" id="{71FBEF12-C8BF-4E08-B20A-925A584D8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03703706" createdVersion="5" refreshedVersion="8" minRefreshableVersion="3" recordCount="0" supportSubquery="1" supportAdvancedDrill="1" xr:uid="{7A5B427C-E0F8-4007-B827-79D348BB83D8}">
  <cacheSource type="external" connectionId="3"/>
  <cacheFields count="2">
    <cacheField name="[Measures].[Distinct Count of Patient Id]" caption="Distinct Count of Patient Id" numFmtId="0" hierarchy="24" level="32767"/>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04745368" createdVersion="5" refreshedVersion="8" minRefreshableVersion="3" recordCount="0" supportSubquery="1" supportAdvancedDrill="1" xr:uid="{521CD67D-51EA-4DA2-BFA3-94D603A969F2}">
  <cacheSource type="external" connectionId="3"/>
  <cacheFields count="2">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056713" createdVersion="5" refreshedVersion="8" minRefreshableVersion="3" recordCount="0" supportSubquery="1" supportAdvancedDrill="1" xr:uid="{1394976D-295E-4117-8FCB-2084FA4CF672}">
  <cacheSource type="external" connectionId="3"/>
  <cacheFields count="2">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06828701" createdVersion="5" refreshedVersion="8" minRefreshableVersion="3" recordCount="0" supportSubquery="1" supportAdvancedDrill="1" xr:uid="{E12F22C6-0ADD-4D26-98EB-CE2FD63B1C5E}">
  <cacheSource type="external" connectionId="3"/>
  <cacheFields count="3">
    <cacheField name="[Calenda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Measures].[Average of Patient Satisfaction Score]" caption="Average of Patient Satisfaction Score" numFmtId="0" hierarchy="28" level="32767"/>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07986109" createdVersion="5" refreshedVersion="8" minRefreshableVersion="3" recordCount="0" supportSubquery="1" supportAdvancedDrill="1" xr:uid="{1110D3E7-F78C-4877-AB28-9706D9C078F9}">
  <cacheSource type="external" connectionId="3"/>
  <cacheFields count="4">
    <cacheField name="[Measures].[Count of Patient Admission Flag]" caption="Count of Patient Admission Flag" numFmtId="0" hierarchy="29" level="32767"/>
    <cacheField name="[Hospital ER_Data].[Patient Admission Flag].[Patient Admission Flag]" caption="Patient Admission Flag" numFmtId="0" hierarchy="13" level="1">
      <sharedItems count="2">
        <s v="Admitted"/>
        <s v="Not Admitted"/>
      </sharedItems>
    </cacheField>
    <cacheField name="[Calendar Table].[Date (Month)].[Date (Month)]" caption="Date (Month)" numFmtId="0" hierarchy="1"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fieldsUsage count="2">
        <fieldUsage x="-1"/>
        <fieldUsage x="1"/>
      </fieldsUsage>
    </cacheHierarchy>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09375002" createdVersion="5" refreshedVersion="8" minRefreshableVersion="3" recordCount="0" supportSubquery="1" supportAdvancedDrill="1" xr:uid="{9CE6B58C-21E3-4EEE-9BBE-72014EDBDECF}">
  <cacheSource type="external" connectionId="3"/>
  <cacheFields count="3">
    <cacheField name="[Measures].[Distinct Count of Patient Id]" caption="Distinct Count of Patient Id" numFmtId="0" hierarchy="24" level="32767"/>
    <cacheField name="[Calenda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10416665" createdVersion="5" refreshedVersion="8" minRefreshableVersion="3" recordCount="0" supportSubquery="1" supportAdvancedDrill="1" xr:uid="{BF4AC88E-D5AD-4A64-B512-0B5DD661C700}">
  <cacheSource type="external" connectionId="3"/>
  <cacheFields count="3">
    <cacheField name="[Measures].[Count of Age Group]" caption="Count of Age Group" numFmtId="0" hierarchy="30" level="32767"/>
    <cacheField name="[Hospital ER_Data].[Age Group].[Age Group]" caption="Age Group" numFmtId="0" hierarchy="16" level="1">
      <sharedItems count="8">
        <s v="0-9"/>
        <s v="10-19"/>
        <s v="20-29"/>
        <s v="30-39"/>
        <s v="40-49"/>
        <s v="50-59"/>
        <s v="60-69"/>
        <s v="70-79"/>
      </sharedItems>
    </cacheField>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fieldsUsage count="2">
        <fieldUsage x="-1"/>
        <fieldUsage x="1"/>
      </fieldsUsage>
    </cacheHierarchy>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11689812" createdVersion="5" refreshedVersion="8" minRefreshableVersion="3" recordCount="0" supportSubquery="1" supportAdvancedDrill="1" xr:uid="{E0615A9A-327F-44BB-9286-3CFFFEDDAD77}">
  <cacheSource type="external" connectionId="3"/>
  <cacheFields count="3">
    <cacheField name="[Measures].[Count of Patient Id]" caption="Count of Patient Id" numFmtId="0" hierarchy="23" level="32767"/>
    <cacheField name="[Hospital ER_Data].[Patient attend status].[Patient attend status]" caption="Patient attend status" numFmtId="0" hierarchy="17" level="1">
      <sharedItems count="2">
        <s v="Delay"/>
        <s v="Ontime"/>
      </sharedItems>
    </cacheField>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fieldsUsage count="2">
        <fieldUsage x="-1"/>
        <fieldUsage x="1"/>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13194443" createdVersion="5" refreshedVersion="8" minRefreshableVersion="3" recordCount="0" supportSubquery="1" supportAdvancedDrill="1" xr:uid="{2581C94B-5BD8-49C8-8C43-FC9FAC16F994}">
  <cacheSource type="external" connectionId="3"/>
  <cacheFields count="3">
    <cacheField name="[Measures].[Count of Patient Gender]" caption="Count of Patient Gender" numFmtId="0" hierarchy="32" level="32767"/>
    <cacheField name="[Hospital ER_Data].[Patient Gender].[Patient Gender]" caption="Patient Gender" numFmtId="0" hierarchy="9" level="1">
      <sharedItems count="3">
        <s v="Female"/>
        <s v="Male"/>
        <s v="Unknown"/>
      </sharedItems>
    </cacheField>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fieldsUsage count="2">
        <fieldUsage x="-1"/>
        <fieldUsage x="1"/>
      </fieldsUsage>
    </cacheHierarchy>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14236113" createdVersion="5" refreshedVersion="8" minRefreshableVersion="3" recordCount="0" supportSubquery="1" supportAdvancedDrill="1" xr:uid="{AA42EECA-DF02-497F-A5AB-1D4FFA6587B9}">
  <cacheSource type="external" connectionId="3"/>
  <cacheFields count="3">
    <cacheField name="[Hospital ER_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fieldsUsage count="2">
        <fieldUsage x="-1"/>
        <fieldUsage x="0"/>
      </fieldsUsage>
    </cacheHierarchy>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15393521" createdVersion="5" refreshedVersion="8" minRefreshableVersion="3" recordCount="0" supportSubquery="1" supportAdvancedDrill="1" xr:uid="{137C8DBA-9E4E-4448-A8D7-F1C32F0973DD}">
  <cacheSource type="external" connectionId="3"/>
  <cacheFields count="3">
    <cacheField name="[Calendar Table].[Date (Year)].[Date (Year)]" caption="Date (Year)" numFmtId="0" hierarchy="3" level="1">
      <sharedItems count="2">
        <s v="2023"/>
        <s v="2024"/>
      </sharedItems>
    </cacheField>
    <cacheField name="[Measures].[Count of Date (Year)]" caption="Count of Date (Year)" numFmtId="0" hierarchy="34" level="32767"/>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0"/>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Hospital ER_Data].[Patient Id]" caption="Patient Id" attribute="1" defaultMemberUniqueName="[Hospital ER_Data].[Patient Id].[All]" allUniqueName="[Hospital ER_Data].[Patient Id].[All]" dimensionUniqueName="[Hospital ER_Data]" displayFolder="" count="2"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2"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2" memberValueDatatype="7" unbalanced="0"/>
    <cacheHierarchy uniqueName="[Hospital ER_Data].[Merged]" caption="Merged" attribute="1" defaultMemberUniqueName="[Hospital ER_Data].[Merged].[All]" allUniqueName="[Hospital ER_Data].[Merged].[All]" dimensionUniqueName="[Hospital ER_Data]" displayFolder="" count="2"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2" memberValueDatatype="130" unbalanced="0"/>
    <cacheHierarchy uniqueName="[Hospital ER_Data].[Patient Age]" caption="Patient Age" attribute="1" defaultMemberUniqueName="[Hospital ER_Data].[Patient Age].[All]" allUniqueName="[Hospital ER_Data].[Patient Age].[All]" dimensionUniqueName="[Hospital ER_Data]" displayFolder="" count="2" memberValueDatatype="20" unbalanced="0"/>
    <cacheHierarchy uniqueName="[Hospital ER_Data].[Patient Race]" caption="Patient Race" attribute="1" defaultMemberUniqueName="[Hospital ER_Data].[Patient Race].[All]" allUniqueName="[Hospital ER_Data].[Patient Race].[All]" dimensionUniqueName="[Hospital ER_Data]" displayFolder="" count="2"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2"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2"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2"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2" memberValueDatatype="20" unbalanced="0"/>
    <cacheHierarchy uniqueName="[Hospital ER_Data].[Age Group]" caption="Age Group" attribute="1" defaultMemberUniqueName="[Hospital ER_Data].[Age Group].[All]" allUniqueName="[Hospital ER_Data].[Age Group].[All]" dimensionUniqueName="[Hospital ER_Data]" displayFolder="" count="2"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oneField="1" hidden="1">
      <fieldsUsage count="1">
        <fieldUsage x="1"/>
      </fieldsUsage>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4.006216898146" createdVersion="5" refreshedVersion="8" minRefreshableVersion="3" recordCount="0" supportSubquery="1" supportAdvancedDrill="1" xr:uid="{26CA4498-A144-44FC-8797-C4F4061B598B}">
  <cacheSource type="external" connectionId="3"/>
  <cacheFields count="3">
    <cacheField name="[Calenda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Measures].[Average of Patient Waittime]" caption="Average of Patient Waittime" numFmtId="0" hierarchy="26" level="32767"/>
    <cacheField name="[Calendar Table].[Date (Month)].[Date (Month)]" caption="Date (Month)" numFmtId="0" hierarchy="1"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y uniqueName="[Measures].[Count of Date (Year)]" caption="Count of Date (Year)" measure="1" displayFolder="" measureGroup="Calendar Table" count="0" hidden="1">
      <extLst>
        <ext xmlns:x15="http://schemas.microsoft.com/office/spreadsheetml/2010/11/main" uri="{B97F6D7D-B522-45F9-BDA1-12C45D357490}">
          <x15:cacheHierarchy aggregatedColumn="3"/>
        </ext>
      </extLst>
    </cacheHierarchy>
  </cacheHierarchies>
  <kpis count="0"/>
  <dimensions count="3">
    <dimension name="Calendar Table" uniqueName="[Calendar Table]" caption="Calendar Table"/>
    <dimension name="Hospital ER_Data" uniqueName="[Hospital ER_Data]" caption="Hospital ER_Data"/>
    <dimension measure="1" name="Measures" uniqueName="[Measures]" caption="Measures"/>
  </dimensions>
  <measureGroups count="2">
    <measureGroup name="Calendar Table" caption="Calendar Table"/>
    <measureGroup name="Hospital ER_Data" caption="Hospital ER_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ema kumari" refreshedDate="46053.728151388888" createdVersion="3" refreshedVersion="8" minRefreshableVersion="3" recordCount="0" supportSubquery="1" supportAdvancedDrill="1" xr:uid="{8F488FBC-5A83-4310-A08C-D24BFC030CBA}">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R_Data].[Patient Id]" caption="Patient Id" attribute="1" defaultMemberUniqueName="[Hospital ER_Data].[Patient Id].[All]" allUniqueName="[Hospital ER_Data].[Patient Id].[All]" dimensionUniqueName="[Hospital ER_Data]" displayFolder="" count="0" memberValueDatatype="130" unbalanced="0"/>
    <cacheHierarchy uniqueName="[Hospital ER_Data].[Patient Admission Date]" caption="Patient Admission Date" attribute="1" time="1" defaultMemberUniqueName="[Hospital ER_Data].[Patient Admission Date].[All]" allUniqueName="[Hospital ER_Data].[Patient Admission Date].[All]" dimensionUniqueName="[Hospital ER_Data]" displayFolder="" count="0" memberValueDatatype="7" unbalanced="0"/>
    <cacheHierarchy uniqueName="[Hospital ER_Data].[Patient Admission Time]" caption="Patient Admission Time" attribute="1" time="1" defaultMemberUniqueName="[Hospital ER_Data].[Patient Admission Time].[All]" allUniqueName="[Hospital ER_Data].[Patient Admission Time].[All]" dimensionUniqueName="[Hospital ER_Data]" displayFolder="" count="0" memberValueDatatype="7" unbalanced="0"/>
    <cacheHierarchy uniqueName="[Hospital ER_Data].[Merged]" caption="Merged" attribute="1" defaultMemberUniqueName="[Hospital ER_Data].[Merged].[All]" allUniqueName="[Hospital ER_Data].[Merged].[All]" dimensionUniqueName="[Hospital ER_Data]" displayFolder="" count="0" memberValueDatatype="130" unbalanced="0"/>
    <cacheHierarchy uniqueName="[Hospital ER_Data].[Patient Gender]" caption="Patient Gender" attribute="1" defaultMemberUniqueName="[Hospital ER_Data].[Patient Gender].[All]" allUniqueName="[Hospital ER_Data].[Patient Gender].[All]" dimensionUniqueName="[Hospital ER_Data]" displayFolder="" count="0" memberValueDatatype="130" unbalanced="0"/>
    <cacheHierarchy uniqueName="[Hospital ER_Data].[Patient Age]" caption="Patient Age" attribute="1" defaultMemberUniqueName="[Hospital ER_Data].[Patient Age].[All]" allUniqueName="[Hospital ER_Data].[Patient Age].[All]" dimensionUniqueName="[Hospital ER_Data]" displayFolder="" count="0" memberValueDatatype="20" unbalanced="0"/>
    <cacheHierarchy uniqueName="[Hospital ER_Data].[Patient Race]" caption="Patient Race" attribute="1" defaultMemberUniqueName="[Hospital ER_Data].[Patient Race].[All]" allUniqueName="[Hospital ER_Data].[Patient Race].[All]" dimensionUniqueName="[Hospital ER_Data]" displayFolder="" count="0" memberValueDatatype="130" unbalanced="0"/>
    <cacheHierarchy uniqueName="[Hospital ER_Data].[Department Referral]" caption="Department Referral" attribute="1" defaultMemberUniqueName="[Hospital ER_Data].[Department Referral].[All]" allUniqueName="[Hospital ER_Data].[Department Referral].[All]" dimensionUniqueName="[Hospital ER_Data]" displayFolder="" count="0" memberValueDatatype="130" unbalanced="0"/>
    <cacheHierarchy uniqueName="[Hospital ER_Data].[Patient Admission Flag]" caption="Patient Admission Flag" attribute="1" defaultMemberUniqueName="[Hospital ER_Data].[Patient Admission Flag].[All]" allUniqueName="[Hospital ER_Data].[Patient Admission Flag].[All]" dimensionUniqueName="[Hospital ER_Data]" displayFolder="" count="0" memberValueDatatype="130" unbalanced="0"/>
    <cacheHierarchy uniqueName="[Hospital ER_Data].[Patient Satisfaction Score]" caption="Patient Satisfaction Score" attribute="1" defaultMemberUniqueName="[Hospital ER_Data].[Patient Satisfaction Score].[All]" allUniqueName="[Hospital ER_Data].[Patient Satisfaction Score].[All]" dimensionUniqueName="[Hospital ER_Data]" displayFolder="" count="0" memberValueDatatype="20" unbalanced="0"/>
    <cacheHierarchy uniqueName="[Hospital ER_Data].[Patient Waittime]" caption="Patient Waittime" attribute="1" defaultMemberUniqueName="[Hospital ER_Data].[Patient Waittime].[All]" allUniqueName="[Hospital ER_Data].[Patient Waittime].[All]" dimensionUniqueName="[Hospital ER_Data]" displayFolder="" count="0" memberValueDatatype="20" unbalanced="0"/>
    <cacheHierarchy uniqueName="[Hospital ER_Data].[Age Group]" caption="Age Group" attribute="1" defaultMemberUniqueName="[Hospital ER_Data].[Age Group].[All]" allUniqueName="[Hospital ER_Data].[Age Group].[All]" dimensionUniqueName="[Hospital ER_Data]" displayFolder="" count="0" memberValueDatatype="130" unbalanced="0"/>
    <cacheHierarchy uniqueName="[Hospital ER_Data].[Patient attend status]" caption="Patient attend status" attribute="1" defaultMemberUniqueName="[Hospital ER_Data].[Patient attend status].[All]" allUniqueName="[Hospital ER_Data].[Patient attend status].[All]" dimensionUniqueName="[Hospital ER_Data]"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R_Data]" caption="__XL_Count Hospital ER_Data" measure="1" displayFolder="" measureGroup="Hospital ER_Data"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R_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R_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R_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R_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R_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R_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R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806419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5B0F2A-13AD-40AF-9348-029592CDE87D}" name="PivotTable17" cacheId="42" applyNumberFormats="0" applyBorderFormats="0" applyFontFormats="0" applyPatternFormats="0" applyAlignmentFormats="0" applyWidthHeightFormats="1" dataCaption="Values" tag="1eec6397-1804-42a7-ba06-a765e8aaddb2" updatedVersion="8" minRefreshableVersion="3" useAutoFormatting="1" subtotalHiddenItems="1" itemPrintTitles="1" createdVersion="5" indent="0" outline="1" outlineData="1" multipleFieldFilters="0" chartFormat="21">
  <location ref="D60:E6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Patient Gender" fld="0" subtotal="count" baseField="0" baseItem="0"/>
  </dataFields>
  <formats count="1">
    <format dxfId="0">
      <pivotArea outline="0" collapsedLevelsAreSubtotals="1" fieldPosition="0"/>
    </format>
  </formats>
  <chartFormats count="5">
    <chartFormat chart="14" format="0"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1" count="1" selected="0">
            <x v="0"/>
          </reference>
        </references>
      </pivotArea>
    </chartFormat>
    <chartFormat chart="18" format="15">
      <pivotArea type="data" outline="0" fieldPosition="0">
        <references count="2">
          <reference field="4294967294" count="1" selected="0">
            <x v="0"/>
          </reference>
          <reference field="1" count="1" selected="0">
            <x v="1"/>
          </reference>
        </references>
      </pivotArea>
    </chartFormat>
    <chartFormat chart="18" format="16">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817F56-D46E-4359-8046-27A550976A5F}" name="PivotTable13" cacheId="36" applyNumberFormats="0" applyBorderFormats="0" applyFontFormats="0" applyPatternFormats="0" applyAlignmentFormats="0" applyWidthHeightFormats="1" dataCaption="Values" tag="467d1ed1-17b6-40dc-8dd6-0e868b7d3271" updatedVersion="8" minRefreshableVersion="3" useAutoFormatting="1" subtotalHiddenItems="1" itemPrintTitles="1" createdVersion="5" indent="0" outline="1" outlineData="1" multipleFieldFilters="0" chartFormat="5">
  <location ref="L6:M38"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FC58E7-EE7B-411C-895E-DDD170E881C6}" name="PivotTable3" cacheId="30" applyNumberFormats="0" applyBorderFormats="0" applyFontFormats="0" applyPatternFormats="0" applyAlignmentFormats="0" applyWidthHeightFormats="1" dataCaption="Values" tag="43e2c66e-3f53-45ae-898c-1917a44a6714" updatedVersion="8" minRefreshableVersion="3" useAutoFormatting="1"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
      <pivotArea outline="0" collapsedLevelsAreSubtotals="1" fieldPosition="0"/>
    </format>
  </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A9195F-632B-42BD-85E5-C285BBEDB43E}" name="PivotTable1" cacheId="26" applyNumberFormats="0" applyBorderFormats="0" applyFontFormats="0" applyPatternFormats="0" applyAlignmentFormats="0" applyWidthHeightFormats="1" dataCaption="Values" tag="8105ed53-1686-45f7-a66c-6087d936098f" updatedVersion="8" minRefreshableVersion="3" useAutoFormatting="1"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516872-55C5-4049-9F84-94F8B9CAA442}" name="PivotTable15" cacheId="38" applyNumberFormats="0" applyBorderFormats="0" applyFontFormats="0" applyPatternFormats="0" applyAlignmentFormats="0" applyWidthHeightFormats="1" dataCaption="Values" tag="978ecede-6352-482c-873f-c7f7a8d6cbd3" updatedVersion="8" minRefreshableVersion="3" useAutoFormatting="1" subtotalHiddenItems="1" itemPrintTitles="1" createdVersion="5" indent="0" outline="1" outlineData="1" multipleFieldFilters="0" chartFormat="14">
  <location ref="A49:B58"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0" subtotal="count" baseField="0" baseItem="0"/>
  </dataFields>
  <formats count="1">
    <format dxfId="2">
      <pivotArea outline="0" collapsedLevelsAreSubtotals="1" fieldPosition="0"/>
    </format>
  </formats>
  <chartFormats count="3">
    <chartFormat chart="6"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F93E10-6456-41D4-BBC6-6663ACA172AA}" name="PivotTable2" cacheId="28" applyNumberFormats="0" applyBorderFormats="0" applyFontFormats="0" applyPatternFormats="0" applyAlignmentFormats="0" applyWidthHeightFormats="1" dataCaption="Values" tag="d2a1f39f-41df-454e-87f9-5a92b74ba88e" updatedVersion="8" minRefreshableVersion="3" useAutoFormatting="1" subtotalHiddenItems="1" itemPrintTitles="1" createdVersion="5"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
      <pivotArea outline="0" collapsedLevelsAreSubtotals="1" fieldPosition="0"/>
    </format>
  </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A5F7D3-99C3-4CCE-BC81-E254D6B938EE}" name="PivotTable5" cacheId="48" applyNumberFormats="0" applyBorderFormats="0" applyFontFormats="0" applyPatternFormats="0" applyAlignmentFormats="0" applyWidthHeightFormats="1" dataCaption="Values" tag="919facf8-bb76-44eb-a3c9-6bbf13d32aaf" updatedVersion="8" minRefreshableVersion="3" useAutoFormatting="1" subtotalHiddenItems="1" itemPrintTitles="1" createdVersion="5" indent="0" outline="1" outlineData="1" multipleFieldFilters="0" chartFormat="32">
  <location ref="F6:G38"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1" subtotal="average" baseField="0" baseItem="1"/>
  </dataFields>
  <formats count="1">
    <format dxfId="4">
      <pivotArea outline="0" collapsedLevelsAreSubtotals="1" fieldPosition="0"/>
    </format>
  </formats>
  <chartFormats count="3">
    <chartFormat chart="29"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6F39E1-8086-414E-9C37-63E81A8C8EFF}" name="PivotTable10" cacheId="34" applyNumberFormats="0" applyBorderFormats="0" applyFontFormats="0" applyPatternFormats="0" applyAlignmentFormats="0" applyWidthHeightFormats="1" dataCaption="Values" tag="8bfa0a70-d946-4f9b-9b1c-31baf4364f00" updatedVersion="8" minRefreshableVersion="3" useAutoFormatting="1" subtotalHiddenItems="1" itemPrintTitles="1" createdVersion="5" indent="0" outline="1" outlineData="1" multipleFieldFilters="0" chartFormat="10">
  <location ref="A38:C41"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0" subtotal="count" baseField="0" baseItem="0" numFmtId="1"/>
    <dataField name="Count of Patient Admission Flag2" fld="3" subtotal="count" showDataAs="percentOfTotal" baseField="0" baseItem="0" numFmtId="10">
      <extLst>
        <ext xmlns:x14="http://schemas.microsoft.com/office/spreadsheetml/2009/9/main" uri="{E15A36E0-9728-4e99-A89B-3F7291B0FE68}">
          <x14:dataField sourceField="0" uniqueName="[__Xl2].[Measures].[Count of Patient Admission Flag]"/>
        </ext>
      </extLst>
    </dataField>
  </dataFields>
  <formats count="3">
    <format dxfId="7">
      <pivotArea collapsedLevelsAreSubtotals="1" fieldPosition="0">
        <references count="1">
          <reference field="1" count="1">
            <x v="1"/>
          </reference>
        </references>
      </pivotArea>
    </format>
    <format dxfId="6">
      <pivotArea outline="0" collapsedLevelsAreSubtotals="1" fieldPosition="0"/>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0" format="3">
      <pivotArea type="data" outline="0" fieldPosition="0">
        <references count="2">
          <reference field="4294967294" count="1" selected="0">
            <x v="1"/>
          </reference>
          <reference field="1" count="1" selected="0">
            <x v="0"/>
          </reference>
        </references>
      </pivotArea>
    </chartFormat>
  </chartFormats>
  <pivotHierarchies count="36">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83EB1F-BF46-4068-9567-D26E0302B4CE}" name="PivotTable4" cacheId="46" applyNumberFormats="0" applyBorderFormats="0" applyFontFormats="0" applyPatternFormats="0" applyAlignmentFormats="0" applyWidthHeightFormats="1" dataCaption="Values" tag="11a2dc8b-1318-4205-894a-3a81ec5b4dc2" updatedVersion="8" minRefreshableVersion="3" useAutoFormatting="1" subtotalHiddenItems="1" itemPrintTitles="1" createdVersion="5" indent="0" outline="1" outlineData="1" multipleFieldFilters="0" chartFormat="20">
  <location ref="A75:B7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Date (Year)" fld="1" subtotal="count" baseField="0" baseItem="0"/>
  </dataFields>
  <formats count="1">
    <format dxfId="8">
      <pivotArea outline="0" collapsedLevelsAreSubtotals="1" fieldPosition="0"/>
    </format>
  </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648F4A-48D1-47F0-ABD5-BE7AC784B678}" name="PivotTable16" cacheId="40" applyNumberFormats="0" applyBorderFormats="0" applyFontFormats="0" applyPatternFormats="0" applyAlignmentFormats="0" applyWidthHeightFormats="1" dataCaption="Values" tag="cd0aadb1-185b-4136-8e75-9be28c0436da" updatedVersion="8" minRefreshableVersion="3" useAutoFormatting="1" subtotalHiddenItems="1" itemPrintTitles="1" createdVersion="5" indent="0" outline="1" outlineData="1" multipleFieldFilters="0" chartFormat="21">
  <location ref="A61:B6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1">
    <format dxfId="9">
      <pivotArea outline="0" collapsedLevelsAreSubtotals="1" fieldPosition="0"/>
    </format>
  </formats>
  <chartFormats count="3">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 count="1" selected="0">
            <x v="0"/>
          </reference>
        </references>
      </pivotArea>
    </chartFormat>
    <chartFormat chart="17" format="18">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8940AC-C21A-4931-9CB3-F0AB14BE9A03}" name="PivotTable9" cacheId="32" applyNumberFormats="0" applyBorderFormats="0" applyFontFormats="0" applyPatternFormats="0" applyAlignmentFormats="0" applyWidthHeightFormats="1" dataCaption="Values" tag="f400b18f-89c2-4720-b904-3bc90e4fc9aa" updatedVersion="8" minRefreshableVersion="3" useAutoFormatting="1" subtotalHiddenItems="1" itemPrintTitles="1" createdVersion="5" indent="0" outline="1" outlineData="1" multipleFieldFilters="0" chartFormat="25">
  <location ref="I6:J38"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1" subtotal="average" baseField="0" baseItem="0"/>
  </dataFields>
  <formats count="1">
    <format dxfId="10">
      <pivotArea outline="0" collapsedLevelsAreSubtotals="1" fieldPosition="0"/>
    </format>
  </formats>
  <chartFormats count="2">
    <chartFormat chart="18" format="4"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0083CD9-CD8E-45A7-ADA7-FC11821890A2}" name="PivotTable18" cacheId="44" applyNumberFormats="0" applyBorderFormats="0" applyFontFormats="0" applyPatternFormats="0" applyAlignmentFormats="0" applyWidthHeightFormats="1" dataCaption="Values" tag="11a2dc8b-1318-4205-894a-3a81ec5b4dc2" updatedVersion="8" minRefreshableVersion="3" useAutoFormatting="1" subtotalHiddenItems="1" itemPrintTitles="1" createdVersion="5" indent="0" outline="1" outlineData="1" multipleFieldFilters="0" chartFormat="22">
  <location ref="D67:E76"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7"/>
    </i>
    <i>
      <x v="3"/>
    </i>
    <i>
      <x v="1"/>
    </i>
    <i>
      <x v="6"/>
    </i>
    <i>
      <x/>
    </i>
    <i>
      <x v="5"/>
    </i>
    <i>
      <x v="2"/>
    </i>
    <i>
      <x v="4"/>
    </i>
    <i t="grand">
      <x/>
    </i>
  </rowItems>
  <colItems count="1">
    <i/>
  </colItems>
  <dataFields count="1">
    <dataField name="Count of Department Referral" fld="1" subtotal="count" baseField="0" baseItem="0"/>
  </dataFields>
  <formats count="1">
    <format dxfId="11">
      <pivotArea outline="0" collapsedLevelsAreSubtotals="1" fieldPosition="0"/>
    </format>
  </formats>
  <chartFormats count="2">
    <chartFormat chart="17"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R_Data]"/>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7A54114-A851-4E04-8306-C437FADFB28F}" sourceName="[Calendar Table].[Date (Month)]">
  <pivotTables>
    <pivotTable tabId="1" name="PivotTable1"/>
    <pivotTable tabId="1" name="PivotTable2"/>
    <pivotTable tabId="1" name="PivotTable3"/>
    <pivotTable tabId="1" name="PivotTable9"/>
    <pivotTable tabId="1" name="PivotTable10"/>
    <pivotTable tabId="1" name="PivotTable13"/>
    <pivotTable tabId="1" name="PivotTable15"/>
    <pivotTable tabId="1" name="PivotTable16"/>
    <pivotTable tabId="1" name="PivotTable17"/>
    <pivotTable tabId="1" name="PivotTable18"/>
    <pivotTable tabId="1" name="PivotTable4"/>
    <pivotTable tabId="1" name="PivotTable5"/>
  </pivotTables>
  <data>
    <olap pivotCacheId="280641987">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83B67F1-78D8-498B-B1A6-352776A11993}" sourceName="[Calendar Table].[Date (Year)]">
  <pivotTables>
    <pivotTable tabId="1" name="PivotTable4"/>
    <pivotTable tabId="1" name="PivotTable1"/>
    <pivotTable tabId="1" name="PivotTable10"/>
    <pivotTable tabId="1" name="PivotTable13"/>
    <pivotTable tabId="1" name="PivotTable15"/>
    <pivotTable tabId="1" name="PivotTable16"/>
    <pivotTable tabId="1" name="PivotTable17"/>
    <pivotTable tabId="1" name="PivotTable18"/>
    <pivotTable tabId="1" name="PivotTable2"/>
    <pivotTable tabId="1" name="PivotTable3"/>
    <pivotTable tabId="1" name="PivotTable9"/>
    <pivotTable tabId="1" name="PivotTable5"/>
  </pivotTables>
  <data>
    <olap pivotCacheId="280641987">
      <levels count="2">
        <level uniqueName="[Calendar Table].[Date (Year)].[(All)]" sourceCaption="(All)" count="0"/>
        <level uniqueName="[Calendar Table].[Date (Year)].[Date (Year)]" sourceCaption="Date (Year)" count="2">
          <ranges>
            <range startItem="0">
              <i n="[Calendar Table].[Date (Year)].&amp;[2023]" c="2023"/>
              <i n="[Calendar Table].[Date (Year)].&amp;[2024]" c="2024"/>
            </range>
          </ranges>
        </level>
      </levels>
      <selections count="1">
        <selection n="[Calendar 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B7D4D9B-136C-44D3-BD92-3BCCB220D880}" cache="Slicer_Date__Month" caption="Date (Month)" level="1" rowHeight="234950"/>
  <slicer name="Date (Year)" xr10:uid="{3B405BE3-8851-4E61-9B3F-4A0D2FB3F6AE}" cache="Slicer_Date__Year" caption="Date (Year)" showCaption="0"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9CE68-9370-4190-AA13-0C9D60CE130D}">
  <dimension ref="B2:O31"/>
  <sheetViews>
    <sheetView showGridLines="0" workbookViewId="0">
      <selection activeCell="Q10" sqref="Q10"/>
    </sheetView>
  </sheetViews>
  <sheetFormatPr defaultRowHeight="14.4" x14ac:dyDescent="0.3"/>
  <sheetData>
    <row r="2" spans="2:15" x14ac:dyDescent="0.3">
      <c r="B2" s="8"/>
      <c r="C2" s="8"/>
      <c r="D2" s="8"/>
      <c r="E2" s="8"/>
      <c r="F2" s="8"/>
      <c r="G2" s="8"/>
      <c r="H2" s="8"/>
      <c r="I2" s="8"/>
      <c r="J2" s="8"/>
      <c r="K2" s="8"/>
      <c r="L2" s="8"/>
      <c r="M2" s="8"/>
      <c r="N2" s="8"/>
      <c r="O2" s="8"/>
    </row>
    <row r="3" spans="2:15" x14ac:dyDescent="0.3">
      <c r="B3" s="8"/>
      <c r="C3" s="8"/>
      <c r="D3" s="8"/>
      <c r="E3" s="8"/>
      <c r="F3" s="8"/>
      <c r="G3" s="8"/>
      <c r="H3" s="8"/>
      <c r="I3" s="8"/>
      <c r="J3" s="8"/>
      <c r="K3" s="8"/>
      <c r="L3" s="8"/>
      <c r="M3" s="8"/>
      <c r="N3" s="8"/>
      <c r="O3" s="8"/>
    </row>
    <row r="4" spans="2:15" x14ac:dyDescent="0.3">
      <c r="B4" s="8"/>
      <c r="C4" s="8"/>
      <c r="D4" s="8"/>
      <c r="E4" s="8"/>
      <c r="F4" s="8"/>
      <c r="G4" s="8"/>
      <c r="H4" s="8"/>
      <c r="I4" s="8"/>
      <c r="J4" s="8"/>
      <c r="K4" s="8"/>
      <c r="L4" s="8"/>
      <c r="M4" s="8"/>
      <c r="N4" s="8"/>
      <c r="O4" s="8"/>
    </row>
    <row r="5" spans="2:15" x14ac:dyDescent="0.3">
      <c r="B5" s="8"/>
      <c r="C5" s="8"/>
      <c r="D5" s="8"/>
      <c r="E5" s="8"/>
      <c r="F5" s="8"/>
      <c r="G5" s="8"/>
      <c r="H5" s="8"/>
      <c r="I5" s="8"/>
      <c r="J5" s="8"/>
      <c r="K5" s="8"/>
      <c r="L5" s="8"/>
      <c r="M5" s="8"/>
      <c r="N5" s="8"/>
      <c r="O5" s="8"/>
    </row>
    <row r="6" spans="2:15" x14ac:dyDescent="0.3">
      <c r="B6" s="8"/>
      <c r="C6" s="8"/>
      <c r="D6" s="8"/>
      <c r="E6" s="8"/>
      <c r="F6" s="8"/>
      <c r="G6" s="8"/>
      <c r="H6" s="8"/>
      <c r="I6" s="8"/>
      <c r="J6" s="8"/>
      <c r="K6" s="8"/>
      <c r="L6" s="8"/>
      <c r="M6" s="8"/>
      <c r="N6" s="8"/>
      <c r="O6" s="8"/>
    </row>
    <row r="7" spans="2:15" x14ac:dyDescent="0.3">
      <c r="B7" s="8"/>
      <c r="C7" s="8"/>
      <c r="D7" s="8"/>
      <c r="E7" s="8"/>
      <c r="F7" s="8"/>
      <c r="G7" s="8"/>
      <c r="H7" s="8"/>
      <c r="I7" s="8"/>
      <c r="J7" s="8"/>
      <c r="K7" s="8"/>
      <c r="L7" s="8"/>
      <c r="M7" s="8"/>
      <c r="N7" s="8"/>
      <c r="O7" s="8"/>
    </row>
    <row r="8" spans="2:15" x14ac:dyDescent="0.3">
      <c r="B8" s="8"/>
      <c r="C8" s="8"/>
      <c r="D8" s="8"/>
      <c r="E8" s="8"/>
      <c r="F8" s="8"/>
      <c r="G8" s="8"/>
      <c r="H8" s="8"/>
      <c r="I8" s="8"/>
      <c r="J8" s="8"/>
      <c r="K8" s="8"/>
      <c r="L8" s="8"/>
      <c r="M8" s="8"/>
      <c r="N8" s="8"/>
      <c r="O8" s="8"/>
    </row>
    <row r="9" spans="2:15" x14ac:dyDescent="0.3">
      <c r="B9" s="8"/>
      <c r="C9" s="8"/>
      <c r="D9" s="8"/>
      <c r="E9" s="8"/>
      <c r="F9" s="8"/>
      <c r="G9" s="8"/>
      <c r="H9" s="8"/>
      <c r="I9" s="8"/>
      <c r="J9" s="8"/>
      <c r="K9" s="8"/>
      <c r="L9" s="8"/>
      <c r="M9" s="8"/>
      <c r="N9" s="8"/>
      <c r="O9" s="8"/>
    </row>
    <row r="10" spans="2:15" x14ac:dyDescent="0.3">
      <c r="B10" s="8"/>
      <c r="C10" s="8"/>
      <c r="D10" s="8"/>
      <c r="E10" s="8"/>
      <c r="F10" s="8"/>
      <c r="G10" s="8"/>
      <c r="H10" s="8"/>
      <c r="I10" s="8"/>
      <c r="J10" s="8"/>
      <c r="K10" s="8"/>
      <c r="L10" s="8"/>
      <c r="M10" s="8"/>
      <c r="N10" s="8"/>
      <c r="O10" s="8"/>
    </row>
    <row r="11" spans="2:15" x14ac:dyDescent="0.3">
      <c r="B11" s="8"/>
      <c r="C11" s="8"/>
      <c r="D11" s="8"/>
      <c r="E11" s="8"/>
      <c r="F11" s="8"/>
      <c r="G11" s="8"/>
      <c r="H11" s="8"/>
      <c r="I11" s="8"/>
      <c r="J11" s="8"/>
      <c r="K11" s="8"/>
      <c r="L11" s="8"/>
      <c r="M11" s="8"/>
      <c r="N11" s="8"/>
      <c r="O11" s="8"/>
    </row>
    <row r="12" spans="2:15" x14ac:dyDescent="0.3">
      <c r="B12" s="8"/>
      <c r="C12" s="8"/>
      <c r="D12" s="8"/>
      <c r="E12" s="8"/>
      <c r="F12" s="8"/>
      <c r="G12" s="8"/>
      <c r="H12" s="8"/>
      <c r="I12" s="8"/>
      <c r="J12" s="8"/>
      <c r="K12" s="8"/>
      <c r="L12" s="8"/>
      <c r="M12" s="8"/>
      <c r="N12" s="8"/>
      <c r="O12" s="8"/>
    </row>
    <row r="13" spans="2:15" x14ac:dyDescent="0.3">
      <c r="B13" s="8"/>
      <c r="C13" s="8"/>
      <c r="D13" s="8"/>
      <c r="E13" s="8"/>
      <c r="F13" s="8"/>
      <c r="G13" s="8"/>
      <c r="H13" s="8"/>
      <c r="I13" s="8"/>
      <c r="J13" s="8"/>
      <c r="K13" s="8"/>
      <c r="L13" s="8"/>
      <c r="M13" s="8"/>
      <c r="N13" s="8"/>
      <c r="O13" s="8"/>
    </row>
    <row r="14" spans="2:15" x14ac:dyDescent="0.3">
      <c r="B14" s="8"/>
      <c r="C14" s="8"/>
      <c r="D14" s="8"/>
      <c r="E14" s="8"/>
      <c r="F14" s="8"/>
      <c r="G14" s="8"/>
      <c r="H14" s="8"/>
      <c r="I14" s="8"/>
      <c r="J14" s="8"/>
      <c r="K14" s="8"/>
      <c r="L14" s="8"/>
      <c r="M14" s="8"/>
      <c r="N14" s="8"/>
      <c r="O14" s="8"/>
    </row>
    <row r="15" spans="2:15" x14ac:dyDescent="0.3">
      <c r="B15" s="8"/>
      <c r="C15" s="8"/>
      <c r="D15" s="8"/>
      <c r="E15" s="8"/>
      <c r="F15" s="8"/>
      <c r="G15" s="8"/>
      <c r="H15" s="8"/>
      <c r="I15" s="8"/>
      <c r="J15" s="8"/>
      <c r="K15" s="8"/>
      <c r="L15" s="8"/>
      <c r="M15" s="8"/>
      <c r="N15" s="8"/>
      <c r="O15" s="8"/>
    </row>
    <row r="16" spans="2:15" x14ac:dyDescent="0.3">
      <c r="B16" s="8"/>
      <c r="C16" s="8"/>
      <c r="D16" s="8"/>
      <c r="E16" s="8"/>
      <c r="F16" s="8"/>
      <c r="G16" s="8"/>
      <c r="H16" s="8"/>
      <c r="I16" s="8"/>
      <c r="J16" s="8"/>
      <c r="K16" s="8"/>
      <c r="L16" s="8"/>
      <c r="M16" s="8"/>
      <c r="N16" s="8"/>
      <c r="O16" s="8"/>
    </row>
    <row r="17" spans="2:15" x14ac:dyDescent="0.3">
      <c r="B17" s="8"/>
      <c r="C17" s="8"/>
      <c r="D17" s="8"/>
      <c r="E17" s="8"/>
      <c r="F17" s="8"/>
      <c r="G17" s="8"/>
      <c r="H17" s="8"/>
      <c r="I17" s="8"/>
      <c r="J17" s="8"/>
      <c r="K17" s="8"/>
      <c r="L17" s="8"/>
      <c r="M17" s="8"/>
      <c r="N17" s="8"/>
      <c r="O17" s="8"/>
    </row>
    <row r="18" spans="2:15" x14ac:dyDescent="0.3">
      <c r="B18" s="8"/>
      <c r="C18" s="8"/>
      <c r="D18" s="8"/>
      <c r="E18" s="8"/>
      <c r="F18" s="8"/>
      <c r="G18" s="8"/>
      <c r="H18" s="8"/>
      <c r="I18" s="8"/>
      <c r="J18" s="8"/>
      <c r="K18" s="8"/>
      <c r="L18" s="8"/>
      <c r="M18" s="8"/>
      <c r="N18" s="8"/>
      <c r="O18" s="8"/>
    </row>
    <row r="19" spans="2:15" x14ac:dyDescent="0.3">
      <c r="B19" s="8"/>
      <c r="C19" s="8"/>
      <c r="D19" s="8"/>
      <c r="E19" s="8"/>
      <c r="F19" s="8"/>
      <c r="G19" s="8"/>
      <c r="H19" s="8"/>
      <c r="I19" s="8"/>
      <c r="J19" s="8"/>
      <c r="K19" s="8"/>
      <c r="L19" s="8"/>
      <c r="M19" s="8"/>
      <c r="N19" s="8"/>
      <c r="O19" s="8"/>
    </row>
    <row r="20" spans="2:15" x14ac:dyDescent="0.3">
      <c r="B20" s="8"/>
      <c r="C20" s="8"/>
      <c r="D20" s="8"/>
      <c r="E20" s="8"/>
      <c r="F20" s="8"/>
      <c r="G20" s="8"/>
      <c r="H20" s="8"/>
      <c r="I20" s="8"/>
      <c r="J20" s="8"/>
      <c r="K20" s="8"/>
      <c r="L20" s="8"/>
      <c r="M20" s="8"/>
      <c r="N20" s="8"/>
      <c r="O20" s="8"/>
    </row>
    <row r="21" spans="2:15" x14ac:dyDescent="0.3">
      <c r="B21" s="8"/>
      <c r="C21" s="8"/>
      <c r="D21" s="8"/>
      <c r="E21" s="8"/>
      <c r="F21" s="8"/>
      <c r="G21" s="8"/>
      <c r="H21" s="8"/>
      <c r="I21" s="8"/>
      <c r="J21" s="8"/>
      <c r="K21" s="8"/>
      <c r="L21" s="8"/>
      <c r="M21" s="8"/>
      <c r="N21" s="8"/>
      <c r="O21" s="8"/>
    </row>
    <row r="22" spans="2:15" x14ac:dyDescent="0.3">
      <c r="B22" s="8"/>
      <c r="C22" s="8"/>
      <c r="D22" s="8"/>
      <c r="E22" s="8"/>
      <c r="F22" s="8"/>
      <c r="G22" s="8"/>
      <c r="H22" s="8"/>
      <c r="I22" s="8"/>
      <c r="J22" s="8"/>
      <c r="K22" s="8"/>
      <c r="L22" s="8"/>
      <c r="M22" s="8"/>
      <c r="N22" s="8"/>
      <c r="O22" s="8"/>
    </row>
    <row r="23" spans="2:15" x14ac:dyDescent="0.3">
      <c r="B23" s="8"/>
      <c r="C23" s="8"/>
      <c r="D23" s="8"/>
      <c r="E23" s="8"/>
      <c r="F23" s="8"/>
      <c r="G23" s="8"/>
      <c r="H23" s="8"/>
      <c r="I23" s="8"/>
      <c r="J23" s="8"/>
      <c r="K23" s="8"/>
      <c r="L23" s="8"/>
      <c r="M23" s="8"/>
      <c r="N23" s="8"/>
      <c r="O23" s="8"/>
    </row>
    <row r="24" spans="2:15" x14ac:dyDescent="0.3">
      <c r="B24" s="8"/>
      <c r="C24" s="8"/>
      <c r="D24" s="8"/>
      <c r="E24" s="8"/>
      <c r="F24" s="8"/>
      <c r="G24" s="8"/>
      <c r="H24" s="8"/>
      <c r="I24" s="8"/>
      <c r="J24" s="8"/>
      <c r="K24" s="8"/>
      <c r="L24" s="8"/>
      <c r="M24" s="8"/>
      <c r="N24" s="8"/>
      <c r="O24" s="8"/>
    </row>
    <row r="25" spans="2:15" x14ac:dyDescent="0.3">
      <c r="B25" s="8"/>
      <c r="C25" s="8"/>
      <c r="D25" s="8"/>
      <c r="E25" s="8"/>
      <c r="F25" s="8"/>
      <c r="G25" s="8"/>
      <c r="H25" s="8"/>
      <c r="I25" s="8"/>
      <c r="J25" s="8"/>
      <c r="K25" s="8"/>
      <c r="L25" s="8"/>
      <c r="M25" s="8"/>
      <c r="N25" s="8"/>
      <c r="O25" s="8"/>
    </row>
    <row r="26" spans="2:15" x14ac:dyDescent="0.3">
      <c r="B26" s="6"/>
      <c r="C26" s="6"/>
      <c r="D26" s="6"/>
      <c r="E26" s="6"/>
      <c r="F26" s="6"/>
      <c r="G26" s="6"/>
      <c r="H26" s="6"/>
      <c r="I26" s="6"/>
      <c r="J26" s="6"/>
      <c r="K26" s="6"/>
      <c r="L26" s="6"/>
      <c r="M26" s="6"/>
      <c r="N26" s="6"/>
      <c r="O26" s="6"/>
    </row>
    <row r="27" spans="2:15" x14ac:dyDescent="0.3">
      <c r="B27" s="6"/>
      <c r="C27" s="6"/>
      <c r="D27" s="6"/>
      <c r="E27" s="6"/>
      <c r="F27" s="6"/>
      <c r="G27" s="6"/>
      <c r="H27" s="6"/>
      <c r="I27" s="6"/>
      <c r="J27" s="6"/>
      <c r="K27" s="6"/>
      <c r="L27" s="6"/>
      <c r="M27" s="6"/>
      <c r="N27" s="6"/>
      <c r="O27" s="6"/>
    </row>
    <row r="28" spans="2:15" x14ac:dyDescent="0.3">
      <c r="B28" s="6"/>
      <c r="C28" s="6"/>
      <c r="D28" s="6"/>
      <c r="E28" s="6"/>
      <c r="F28" s="6"/>
      <c r="G28" s="6"/>
      <c r="H28" s="6"/>
      <c r="I28" s="6"/>
      <c r="J28" s="6"/>
      <c r="K28" s="6"/>
      <c r="L28" s="6"/>
      <c r="M28" s="6"/>
      <c r="N28" s="6"/>
      <c r="O28" s="6"/>
    </row>
    <row r="29" spans="2:15" x14ac:dyDescent="0.3">
      <c r="B29" s="6"/>
      <c r="C29" s="6"/>
      <c r="D29" s="6"/>
      <c r="E29" s="6"/>
      <c r="F29" s="6"/>
      <c r="G29" s="6"/>
      <c r="H29" s="6"/>
      <c r="I29" s="6"/>
      <c r="J29" s="6"/>
      <c r="K29" s="6"/>
      <c r="L29" s="6"/>
      <c r="M29" s="6"/>
      <c r="N29" s="6"/>
      <c r="O29" s="6"/>
    </row>
    <row r="30" spans="2:15" x14ac:dyDescent="0.3">
      <c r="B30" s="6"/>
      <c r="C30" s="6"/>
      <c r="D30" s="6"/>
      <c r="E30" s="6"/>
      <c r="F30" s="6"/>
      <c r="G30" s="6"/>
      <c r="H30" s="6"/>
      <c r="I30" s="6"/>
      <c r="J30" s="6"/>
      <c r="K30" s="6"/>
      <c r="L30" s="6"/>
      <c r="M30" s="6"/>
      <c r="N30" s="6"/>
      <c r="O30" s="6"/>
    </row>
    <row r="31" spans="2:15" x14ac:dyDescent="0.3">
      <c r="B31" s="6"/>
      <c r="C31" s="6"/>
      <c r="D31" s="6"/>
      <c r="E31" s="6"/>
      <c r="F31" s="6"/>
      <c r="G31" s="6"/>
      <c r="H31" s="6"/>
      <c r="I31" s="6"/>
      <c r="J31" s="6"/>
      <c r="K31" s="6"/>
      <c r="L31" s="6"/>
      <c r="M31" s="6"/>
      <c r="N31" s="6"/>
      <c r="O31" s="6"/>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011A0-0F3C-4769-9831-8D4B741EEC18}">
  <dimension ref="A5:M78"/>
  <sheetViews>
    <sheetView topLeftCell="A4" zoomScale="72" zoomScaleNormal="69" workbookViewId="0">
      <selection activeCell="A43" sqref="A43:D43"/>
    </sheetView>
  </sheetViews>
  <sheetFormatPr defaultRowHeight="14.4" x14ac:dyDescent="0.3"/>
  <cols>
    <col min="1" max="1" width="13.5546875" bestFit="1" customWidth="1"/>
    <col min="2" max="2" width="18.6640625" bestFit="1" customWidth="1"/>
    <col min="3" max="3" width="29.44140625" bestFit="1" customWidth="1"/>
    <col min="4" max="4" width="15.88671875" bestFit="1" customWidth="1"/>
    <col min="5" max="5" width="27" bestFit="1" customWidth="1"/>
    <col min="6" max="6" width="13.5546875" bestFit="1" customWidth="1"/>
    <col min="7" max="7" width="25.77734375" bestFit="1" customWidth="1"/>
    <col min="8" max="8" width="22.33203125" bestFit="1" customWidth="1"/>
    <col min="9" max="9" width="13.5546875" bestFit="1" customWidth="1"/>
    <col min="10" max="10" width="32.6640625" bestFit="1" customWidth="1"/>
    <col min="11" max="11" width="17" bestFit="1" customWidth="1"/>
    <col min="12" max="12" width="13.5546875" bestFit="1" customWidth="1"/>
    <col min="13" max="13" width="24.21875" bestFit="1" customWidth="1"/>
    <col min="14" max="66" width="17" bestFit="1" customWidth="1"/>
    <col min="67" max="67" width="11.21875" bestFit="1" customWidth="1"/>
    <col min="68" max="582" width="10.33203125" bestFit="1" customWidth="1"/>
    <col min="583" max="583" width="10.77734375" bestFit="1" customWidth="1"/>
  </cols>
  <sheetData>
    <row r="5" spans="1:13" x14ac:dyDescent="0.3">
      <c r="A5" t="s">
        <v>1</v>
      </c>
      <c r="F5" t="s">
        <v>41</v>
      </c>
      <c r="I5" t="s">
        <v>7</v>
      </c>
      <c r="L5" t="s">
        <v>6</v>
      </c>
    </row>
    <row r="6" spans="1:13" x14ac:dyDescent="0.3">
      <c r="A6" t="s">
        <v>0</v>
      </c>
      <c r="F6" s="1" t="s">
        <v>5</v>
      </c>
      <c r="G6" t="s">
        <v>2</v>
      </c>
      <c r="I6" s="1" t="s">
        <v>5</v>
      </c>
      <c r="J6" t="s">
        <v>3</v>
      </c>
      <c r="L6" s="1" t="s">
        <v>5</v>
      </c>
      <c r="M6" t="s">
        <v>0</v>
      </c>
    </row>
    <row r="7" spans="1:13" x14ac:dyDescent="0.3">
      <c r="A7" s="11">
        <v>506</v>
      </c>
      <c r="F7" s="3" t="s">
        <v>47</v>
      </c>
      <c r="G7" s="2">
        <v>34.526315789473685</v>
      </c>
      <c r="I7" s="3" t="s">
        <v>47</v>
      </c>
      <c r="J7" s="2">
        <v>7.2</v>
      </c>
      <c r="L7" s="3" t="s">
        <v>47</v>
      </c>
      <c r="M7" s="11">
        <v>19</v>
      </c>
    </row>
    <row r="8" spans="1:13" x14ac:dyDescent="0.3">
      <c r="F8" s="3" t="s">
        <v>48</v>
      </c>
      <c r="G8" s="2">
        <v>33.708333333333336</v>
      </c>
      <c r="I8" s="3" t="s">
        <v>48</v>
      </c>
      <c r="J8" s="2">
        <v>6</v>
      </c>
      <c r="L8" s="3" t="s">
        <v>48</v>
      </c>
      <c r="M8" s="11">
        <v>24</v>
      </c>
    </row>
    <row r="9" spans="1:13" x14ac:dyDescent="0.3">
      <c r="F9" s="3" t="s">
        <v>49</v>
      </c>
      <c r="G9" s="2">
        <v>36.291666666666664</v>
      </c>
      <c r="I9" s="3" t="s">
        <v>49</v>
      </c>
      <c r="J9" s="2">
        <v>1.5</v>
      </c>
      <c r="L9" s="3" t="s">
        <v>49</v>
      </c>
      <c r="M9" s="11">
        <v>24</v>
      </c>
    </row>
    <row r="10" spans="1:13" x14ac:dyDescent="0.3">
      <c r="A10" t="s">
        <v>2</v>
      </c>
      <c r="F10" s="3" t="s">
        <v>50</v>
      </c>
      <c r="G10" s="2">
        <v>35.071428571428569</v>
      </c>
      <c r="I10" s="3" t="s">
        <v>50</v>
      </c>
      <c r="J10" s="2">
        <v>2.75</v>
      </c>
      <c r="L10" s="3" t="s">
        <v>50</v>
      </c>
      <c r="M10" s="11">
        <v>14</v>
      </c>
    </row>
    <row r="11" spans="1:13" x14ac:dyDescent="0.3">
      <c r="A11" s="2">
        <v>35.879446640316203</v>
      </c>
      <c r="F11" s="3" t="s">
        <v>51</v>
      </c>
      <c r="G11" s="2">
        <v>31.571428571428573</v>
      </c>
      <c r="I11" s="3" t="s">
        <v>51</v>
      </c>
      <c r="J11" s="2">
        <v>5</v>
      </c>
      <c r="L11" s="3" t="s">
        <v>51</v>
      </c>
      <c r="M11" s="11">
        <v>14</v>
      </c>
    </row>
    <row r="12" spans="1:13" x14ac:dyDescent="0.3">
      <c r="F12" s="3" t="s">
        <v>52</v>
      </c>
      <c r="G12" s="2">
        <v>31.8125</v>
      </c>
      <c r="I12" s="3" t="s">
        <v>52</v>
      </c>
      <c r="J12" s="2">
        <v>5.5</v>
      </c>
      <c r="L12" s="3" t="s">
        <v>52</v>
      </c>
      <c r="M12" s="11">
        <v>16</v>
      </c>
    </row>
    <row r="13" spans="1:13" x14ac:dyDescent="0.3">
      <c r="F13" s="3" t="s">
        <v>53</v>
      </c>
      <c r="G13" s="2">
        <v>36.846153846153847</v>
      </c>
      <c r="I13" s="3" t="s">
        <v>53</v>
      </c>
      <c r="J13" s="2">
        <v>5.0909090909090908</v>
      </c>
      <c r="L13" s="3" t="s">
        <v>53</v>
      </c>
      <c r="M13" s="11">
        <v>26</v>
      </c>
    </row>
    <row r="14" spans="1:13" x14ac:dyDescent="0.3">
      <c r="A14" t="s">
        <v>3</v>
      </c>
      <c r="F14" s="3" t="s">
        <v>54</v>
      </c>
      <c r="G14" s="2">
        <v>34.071428571428569</v>
      </c>
      <c r="I14" s="3" t="s">
        <v>54</v>
      </c>
      <c r="J14" s="2">
        <v>7.666666666666667</v>
      </c>
      <c r="L14" s="3" t="s">
        <v>54</v>
      </c>
      <c r="M14" s="11">
        <v>14</v>
      </c>
    </row>
    <row r="15" spans="1:13" x14ac:dyDescent="0.3">
      <c r="A15" s="2">
        <v>5.3277310924369745</v>
      </c>
      <c r="F15" s="3" t="s">
        <v>55</v>
      </c>
      <c r="G15" s="2">
        <v>33</v>
      </c>
      <c r="I15" s="3" t="s">
        <v>55</v>
      </c>
      <c r="J15" s="2">
        <v>3.5</v>
      </c>
      <c r="L15" s="3" t="s">
        <v>55</v>
      </c>
      <c r="M15" s="11">
        <v>22</v>
      </c>
    </row>
    <row r="16" spans="1:13" x14ac:dyDescent="0.3">
      <c r="F16" s="3" t="s">
        <v>56</v>
      </c>
      <c r="G16" s="2">
        <v>40.222222222222221</v>
      </c>
      <c r="I16" s="3" t="s">
        <v>56</v>
      </c>
      <c r="J16" s="2">
        <v>3.6666666666666665</v>
      </c>
      <c r="L16" s="3" t="s">
        <v>56</v>
      </c>
      <c r="M16" s="11">
        <v>18</v>
      </c>
    </row>
    <row r="17" spans="3:13" x14ac:dyDescent="0.3">
      <c r="F17" s="3" t="s">
        <v>57</v>
      </c>
      <c r="G17" s="2">
        <v>42.05</v>
      </c>
      <c r="I17" s="3" t="s">
        <v>57</v>
      </c>
      <c r="J17" s="2">
        <v>3.8</v>
      </c>
      <c r="L17" s="3" t="s">
        <v>57</v>
      </c>
      <c r="M17" s="11">
        <v>20</v>
      </c>
    </row>
    <row r="18" spans="3:13" x14ac:dyDescent="0.3">
      <c r="F18" s="3" t="s">
        <v>58</v>
      </c>
      <c r="G18" s="2">
        <v>42.615384615384613</v>
      </c>
      <c r="I18" s="3" t="s">
        <v>58</v>
      </c>
      <c r="J18" s="2">
        <v>1</v>
      </c>
      <c r="L18" s="3" t="s">
        <v>58</v>
      </c>
      <c r="M18" s="11">
        <v>13</v>
      </c>
    </row>
    <row r="19" spans="3:13" x14ac:dyDescent="0.3">
      <c r="F19" s="3" t="s">
        <v>59</v>
      </c>
      <c r="G19" s="2">
        <v>40.46153846153846</v>
      </c>
      <c r="I19" s="3" t="s">
        <v>59</v>
      </c>
      <c r="J19" s="2">
        <v>7</v>
      </c>
      <c r="L19" s="3" t="s">
        <v>59</v>
      </c>
      <c r="M19" s="11">
        <v>13</v>
      </c>
    </row>
    <row r="20" spans="3:13" x14ac:dyDescent="0.3">
      <c r="F20" s="3" t="s">
        <v>60</v>
      </c>
      <c r="G20" s="2">
        <v>34.071428571428569</v>
      </c>
      <c r="I20" s="3" t="s">
        <v>60</v>
      </c>
      <c r="J20" s="2">
        <v>5</v>
      </c>
      <c r="L20" s="3" t="s">
        <v>60</v>
      </c>
      <c r="M20" s="11">
        <v>14</v>
      </c>
    </row>
    <row r="21" spans="3:13" x14ac:dyDescent="0.3">
      <c r="F21" s="3" t="s">
        <v>61</v>
      </c>
      <c r="G21" s="2">
        <v>33.92307692307692</v>
      </c>
      <c r="I21" s="3" t="s">
        <v>61</v>
      </c>
      <c r="J21" s="2">
        <v>4.25</v>
      </c>
      <c r="L21" s="3" t="s">
        <v>61</v>
      </c>
      <c r="M21" s="11">
        <v>13</v>
      </c>
    </row>
    <row r="22" spans="3:13" x14ac:dyDescent="0.3">
      <c r="F22" s="3" t="s">
        <v>62</v>
      </c>
      <c r="G22" s="2">
        <v>43.166666666666664</v>
      </c>
      <c r="I22" s="3" t="s">
        <v>62</v>
      </c>
      <c r="J22" s="2">
        <v>4</v>
      </c>
      <c r="L22" s="3" t="s">
        <v>62</v>
      </c>
      <c r="M22" s="11">
        <v>18</v>
      </c>
    </row>
    <row r="23" spans="3:13" x14ac:dyDescent="0.3">
      <c r="F23" s="3" t="s">
        <v>63</v>
      </c>
      <c r="G23" s="2">
        <v>42.25</v>
      </c>
      <c r="I23" s="3" t="s">
        <v>63</v>
      </c>
      <c r="J23" s="2">
        <v>7.333333333333333</v>
      </c>
      <c r="L23" s="3" t="s">
        <v>63</v>
      </c>
      <c r="M23" s="11">
        <v>12</v>
      </c>
    </row>
    <row r="24" spans="3:13" x14ac:dyDescent="0.3">
      <c r="F24" s="3" t="s">
        <v>64</v>
      </c>
      <c r="G24" s="2">
        <v>44.090909090909093</v>
      </c>
      <c r="I24" s="3" t="s">
        <v>64</v>
      </c>
      <c r="J24" s="2">
        <v>9</v>
      </c>
      <c r="L24" s="3" t="s">
        <v>64</v>
      </c>
      <c r="M24" s="11">
        <v>11</v>
      </c>
    </row>
    <row r="25" spans="3:13" x14ac:dyDescent="0.3">
      <c r="F25" s="3" t="s">
        <v>65</v>
      </c>
      <c r="G25" s="2">
        <v>39</v>
      </c>
      <c r="I25" s="3" t="s">
        <v>65</v>
      </c>
      <c r="J25" s="2">
        <v>5.25</v>
      </c>
      <c r="L25" s="3" t="s">
        <v>65</v>
      </c>
      <c r="M25" s="11">
        <v>14</v>
      </c>
    </row>
    <row r="26" spans="3:13" x14ac:dyDescent="0.3">
      <c r="F26" s="3" t="s">
        <v>66</v>
      </c>
      <c r="G26" s="2">
        <v>31.25</v>
      </c>
      <c r="I26" s="3" t="s">
        <v>66</v>
      </c>
      <c r="J26" s="2">
        <v>6.6</v>
      </c>
      <c r="L26" s="3" t="s">
        <v>66</v>
      </c>
      <c r="M26" s="11">
        <v>12</v>
      </c>
    </row>
    <row r="27" spans="3:13" x14ac:dyDescent="0.3">
      <c r="F27" s="3" t="s">
        <v>67</v>
      </c>
      <c r="G27" s="2">
        <v>28.5</v>
      </c>
      <c r="I27" s="3" t="s">
        <v>67</v>
      </c>
      <c r="J27" s="2">
        <v>6.25</v>
      </c>
      <c r="L27" s="3" t="s">
        <v>67</v>
      </c>
      <c r="M27" s="11">
        <v>16</v>
      </c>
    </row>
    <row r="28" spans="3:13" x14ac:dyDescent="0.3">
      <c r="F28" s="3" t="s">
        <v>68</v>
      </c>
      <c r="G28" s="2">
        <v>34.0625</v>
      </c>
      <c r="I28" s="3" t="s">
        <v>68</v>
      </c>
      <c r="J28" s="2">
        <v>6.333333333333333</v>
      </c>
      <c r="L28" s="3" t="s">
        <v>68</v>
      </c>
      <c r="M28" s="11">
        <v>16</v>
      </c>
    </row>
    <row r="29" spans="3:13" x14ac:dyDescent="0.3">
      <c r="F29" s="3" t="s">
        <v>69</v>
      </c>
      <c r="G29" s="2">
        <v>25.2</v>
      </c>
      <c r="I29" s="3" t="s">
        <v>69</v>
      </c>
      <c r="J29" s="2">
        <v>7</v>
      </c>
      <c r="L29" s="3" t="s">
        <v>69</v>
      </c>
      <c r="M29" s="11">
        <v>15</v>
      </c>
    </row>
    <row r="30" spans="3:13" x14ac:dyDescent="0.3">
      <c r="F30" s="3" t="s">
        <v>70</v>
      </c>
      <c r="G30" s="2">
        <v>35.863636363636367</v>
      </c>
      <c r="I30" s="3" t="s">
        <v>70</v>
      </c>
      <c r="J30" s="2">
        <v>5.666666666666667</v>
      </c>
      <c r="L30" s="3" t="s">
        <v>70</v>
      </c>
      <c r="M30" s="11">
        <v>22</v>
      </c>
    </row>
    <row r="31" spans="3:13" x14ac:dyDescent="0.3">
      <c r="C31" s="6"/>
      <c r="F31" s="3" t="s">
        <v>71</v>
      </c>
      <c r="G31" s="2">
        <v>39.833333333333336</v>
      </c>
      <c r="I31" s="3" t="s">
        <v>71</v>
      </c>
      <c r="J31" s="2">
        <v>3.3333333333333335</v>
      </c>
      <c r="L31" s="3" t="s">
        <v>71</v>
      </c>
      <c r="M31" s="11">
        <v>18</v>
      </c>
    </row>
    <row r="32" spans="3:13" x14ac:dyDescent="0.3">
      <c r="F32" s="3" t="s">
        <v>72</v>
      </c>
      <c r="G32" s="2">
        <v>37</v>
      </c>
      <c r="I32" s="3" t="s">
        <v>72</v>
      </c>
      <c r="J32" s="2">
        <v>4.75</v>
      </c>
      <c r="L32" s="3" t="s">
        <v>72</v>
      </c>
      <c r="M32" s="11">
        <v>10</v>
      </c>
    </row>
    <row r="33" spans="1:13" x14ac:dyDescent="0.3">
      <c r="F33" s="3" t="s">
        <v>73</v>
      </c>
      <c r="G33" s="2">
        <v>39.411764705882355</v>
      </c>
      <c r="I33" s="3" t="s">
        <v>73</v>
      </c>
      <c r="J33" s="2">
        <v>2</v>
      </c>
      <c r="L33" s="3" t="s">
        <v>73</v>
      </c>
      <c r="M33" s="11">
        <v>17</v>
      </c>
    </row>
    <row r="34" spans="1:13" x14ac:dyDescent="0.3">
      <c r="F34" s="3" t="s">
        <v>74</v>
      </c>
      <c r="G34" s="2">
        <v>30.294117647058822</v>
      </c>
      <c r="I34" s="3" t="s">
        <v>74</v>
      </c>
      <c r="J34" s="2">
        <v>9.25</v>
      </c>
      <c r="L34" s="3" t="s">
        <v>74</v>
      </c>
      <c r="M34" s="11">
        <v>17</v>
      </c>
    </row>
    <row r="35" spans="1:13" x14ac:dyDescent="0.3">
      <c r="F35" s="3" t="s">
        <v>75</v>
      </c>
      <c r="G35" s="2">
        <v>32.666666666666664</v>
      </c>
      <c r="I35" s="3" t="s">
        <v>75</v>
      </c>
      <c r="J35" s="2">
        <v>2.6666666666666665</v>
      </c>
      <c r="L35" s="3" t="s">
        <v>75</v>
      </c>
      <c r="M35" s="11">
        <v>12</v>
      </c>
    </row>
    <row r="36" spans="1:13" x14ac:dyDescent="0.3">
      <c r="F36" s="3" t="s">
        <v>76</v>
      </c>
      <c r="G36" s="2">
        <v>30.571428571428573</v>
      </c>
      <c r="I36" s="3" t="s">
        <v>76</v>
      </c>
      <c r="J36" s="2">
        <v>4</v>
      </c>
      <c r="L36" s="3" t="s">
        <v>76</v>
      </c>
      <c r="M36" s="11">
        <v>14</v>
      </c>
    </row>
    <row r="37" spans="1:13" x14ac:dyDescent="0.3">
      <c r="F37" s="3" t="s">
        <v>77</v>
      </c>
      <c r="G37" s="2">
        <v>39.055555555555557</v>
      </c>
      <c r="I37" s="3" t="s">
        <v>77</v>
      </c>
      <c r="J37" s="2">
        <v>8.75</v>
      </c>
      <c r="L37" s="3" t="s">
        <v>77</v>
      </c>
      <c r="M37" s="11">
        <v>18</v>
      </c>
    </row>
    <row r="38" spans="1:13" x14ac:dyDescent="0.3">
      <c r="A38" s="1" t="s">
        <v>5</v>
      </c>
      <c r="B38" t="s">
        <v>8</v>
      </c>
      <c r="C38" t="s">
        <v>11</v>
      </c>
      <c r="F38" s="3" t="s">
        <v>4</v>
      </c>
      <c r="G38" s="2">
        <v>35.879446640316203</v>
      </c>
      <c r="I38" s="3" t="s">
        <v>4</v>
      </c>
      <c r="J38" s="2">
        <v>5.3277310924369745</v>
      </c>
      <c r="L38" s="3" t="s">
        <v>4</v>
      </c>
      <c r="M38" s="11">
        <v>506</v>
      </c>
    </row>
    <row r="39" spans="1:13" x14ac:dyDescent="0.3">
      <c r="A39" s="3" t="s">
        <v>9</v>
      </c>
      <c r="B39" s="4">
        <v>253</v>
      </c>
      <c r="C39" s="5">
        <v>0.5</v>
      </c>
    </row>
    <row r="40" spans="1:13" x14ac:dyDescent="0.3">
      <c r="A40" s="3" t="s">
        <v>10</v>
      </c>
      <c r="B40" s="4">
        <v>253</v>
      </c>
      <c r="C40" s="5">
        <v>0.5</v>
      </c>
    </row>
    <row r="41" spans="1:13" x14ac:dyDescent="0.3">
      <c r="A41" s="3" t="s">
        <v>4</v>
      </c>
      <c r="B41" s="4">
        <v>506</v>
      </c>
      <c r="C41" s="5">
        <v>1</v>
      </c>
    </row>
    <row r="43" spans="1:13" x14ac:dyDescent="0.3">
      <c r="A43" s="10" t="s">
        <v>43</v>
      </c>
      <c r="B43" s="9" t="s">
        <v>44</v>
      </c>
      <c r="C43" s="9" t="s">
        <v>45</v>
      </c>
      <c r="D43" s="9"/>
    </row>
    <row r="44" spans="1:13" x14ac:dyDescent="0.3">
      <c r="A44" s="6" t="str">
        <f>A40</f>
        <v>Not Admitted</v>
      </c>
      <c r="B44" s="6">
        <f>B40</f>
        <v>253</v>
      </c>
      <c r="C44" s="7">
        <f>C40</f>
        <v>0.5</v>
      </c>
      <c r="D44" s="6"/>
    </row>
    <row r="45" spans="1:13" x14ac:dyDescent="0.3">
      <c r="A45" s="6" t="str">
        <f>A39</f>
        <v>Admitted</v>
      </c>
      <c r="B45" s="6">
        <f>B39</f>
        <v>253</v>
      </c>
      <c r="C45" s="7">
        <f>C39</f>
        <v>0.5</v>
      </c>
      <c r="D45" s="6"/>
    </row>
    <row r="46" spans="1:13" x14ac:dyDescent="0.3">
      <c r="A46" s="6"/>
      <c r="B46" s="6"/>
      <c r="C46" s="6"/>
      <c r="D46" s="6"/>
    </row>
    <row r="48" spans="1:13" x14ac:dyDescent="0.3">
      <c r="A48" t="s">
        <v>34</v>
      </c>
    </row>
    <row r="49" spans="1:5" x14ac:dyDescent="0.3">
      <c r="A49" s="1" t="s">
        <v>5</v>
      </c>
      <c r="B49" t="s">
        <v>12</v>
      </c>
    </row>
    <row r="50" spans="1:5" x14ac:dyDescent="0.3">
      <c r="A50" s="3" t="s">
        <v>15</v>
      </c>
      <c r="B50" s="4">
        <v>64</v>
      </c>
    </row>
    <row r="51" spans="1:5" x14ac:dyDescent="0.3">
      <c r="A51" s="3" t="s">
        <v>16</v>
      </c>
      <c r="B51" s="4">
        <v>66</v>
      </c>
    </row>
    <row r="52" spans="1:5" x14ac:dyDescent="0.3">
      <c r="A52" s="3" t="s">
        <v>17</v>
      </c>
      <c r="B52" s="4">
        <v>65</v>
      </c>
    </row>
    <row r="53" spans="1:5" x14ac:dyDescent="0.3">
      <c r="A53" s="3" t="s">
        <v>18</v>
      </c>
      <c r="B53" s="4">
        <v>73</v>
      </c>
    </row>
    <row r="54" spans="1:5" x14ac:dyDescent="0.3">
      <c r="A54" s="3" t="s">
        <v>19</v>
      </c>
      <c r="B54" s="4">
        <v>45</v>
      </c>
    </row>
    <row r="55" spans="1:5" x14ac:dyDescent="0.3">
      <c r="A55" s="3" t="s">
        <v>20</v>
      </c>
      <c r="B55" s="4">
        <v>72</v>
      </c>
    </row>
    <row r="56" spans="1:5" x14ac:dyDescent="0.3">
      <c r="A56" s="3" t="s">
        <v>13</v>
      </c>
      <c r="B56" s="4">
        <v>74</v>
      </c>
    </row>
    <row r="57" spans="1:5" x14ac:dyDescent="0.3">
      <c r="A57" s="3" t="s">
        <v>14</v>
      </c>
      <c r="B57" s="4">
        <v>47</v>
      </c>
    </row>
    <row r="58" spans="1:5" x14ac:dyDescent="0.3">
      <c r="A58" s="3" t="s">
        <v>4</v>
      </c>
      <c r="B58" s="4">
        <v>506</v>
      </c>
    </row>
    <row r="59" spans="1:5" x14ac:dyDescent="0.3">
      <c r="D59" t="s">
        <v>38</v>
      </c>
    </row>
    <row r="60" spans="1:5" x14ac:dyDescent="0.3">
      <c r="A60" s="3" t="s">
        <v>36</v>
      </c>
      <c r="D60" s="1" t="s">
        <v>5</v>
      </c>
      <c r="E60" t="s">
        <v>37</v>
      </c>
    </row>
    <row r="61" spans="1:5" x14ac:dyDescent="0.3">
      <c r="A61" s="1" t="s">
        <v>5</v>
      </c>
      <c r="B61" t="s">
        <v>35</v>
      </c>
      <c r="D61" s="3" t="s">
        <v>25</v>
      </c>
      <c r="E61" s="4">
        <v>231</v>
      </c>
    </row>
    <row r="62" spans="1:5" x14ac:dyDescent="0.3">
      <c r="A62" s="3" t="s">
        <v>24</v>
      </c>
      <c r="B62" s="4">
        <v>312</v>
      </c>
      <c r="D62" s="3" t="s">
        <v>21</v>
      </c>
      <c r="E62" s="4">
        <v>273</v>
      </c>
    </row>
    <row r="63" spans="1:5" x14ac:dyDescent="0.3">
      <c r="A63" s="3" t="s">
        <v>23</v>
      </c>
      <c r="B63" s="4">
        <v>194</v>
      </c>
      <c r="D63" s="3" t="s">
        <v>33</v>
      </c>
      <c r="E63" s="4">
        <v>2</v>
      </c>
    </row>
    <row r="64" spans="1:5" x14ac:dyDescent="0.3">
      <c r="A64" s="3" t="s">
        <v>4</v>
      </c>
      <c r="B64" s="4">
        <v>506</v>
      </c>
      <c r="D64" s="3" t="s">
        <v>4</v>
      </c>
      <c r="E64" s="4">
        <v>506</v>
      </c>
    </row>
    <row r="67" spans="1:5" x14ac:dyDescent="0.3">
      <c r="D67" s="1" t="s">
        <v>5</v>
      </c>
      <c r="E67" t="s">
        <v>39</v>
      </c>
    </row>
    <row r="68" spans="1:5" x14ac:dyDescent="0.3">
      <c r="D68" s="3" t="s">
        <v>32</v>
      </c>
      <c r="E68" s="4">
        <v>3</v>
      </c>
    </row>
    <row r="69" spans="1:5" x14ac:dyDescent="0.3">
      <c r="D69" s="3" t="s">
        <v>29</v>
      </c>
      <c r="E69" s="4">
        <v>5</v>
      </c>
    </row>
    <row r="70" spans="1:5" x14ac:dyDescent="0.3">
      <c r="D70" s="3" t="s">
        <v>30</v>
      </c>
      <c r="E70" s="4">
        <v>6</v>
      </c>
    </row>
    <row r="71" spans="1:5" x14ac:dyDescent="0.3">
      <c r="D71" s="3" t="s">
        <v>28</v>
      </c>
      <c r="E71" s="4">
        <v>14</v>
      </c>
    </row>
    <row r="72" spans="1:5" x14ac:dyDescent="0.3">
      <c r="D72" s="3" t="s">
        <v>31</v>
      </c>
      <c r="E72" s="4">
        <v>15</v>
      </c>
    </row>
    <row r="73" spans="1:5" x14ac:dyDescent="0.3">
      <c r="D73" s="3" t="s">
        <v>27</v>
      </c>
      <c r="E73" s="4">
        <v>59</v>
      </c>
    </row>
    <row r="74" spans="1:5" x14ac:dyDescent="0.3">
      <c r="D74" s="3" t="s">
        <v>26</v>
      </c>
      <c r="E74" s="4">
        <v>93</v>
      </c>
    </row>
    <row r="75" spans="1:5" x14ac:dyDescent="0.3">
      <c r="A75" s="1" t="s">
        <v>5</v>
      </c>
      <c r="B75" t="s">
        <v>40</v>
      </c>
      <c r="D75" s="3" t="s">
        <v>22</v>
      </c>
      <c r="E75" s="4">
        <v>311</v>
      </c>
    </row>
    <row r="76" spans="1:5" x14ac:dyDescent="0.3">
      <c r="A76" s="3" t="s">
        <v>42</v>
      </c>
      <c r="B76" s="4">
        <v>31</v>
      </c>
      <c r="D76" s="3" t="s">
        <v>4</v>
      </c>
      <c r="E76" s="4">
        <v>506</v>
      </c>
    </row>
    <row r="77" spans="1:5" x14ac:dyDescent="0.3">
      <c r="A77" s="3" t="s">
        <v>46</v>
      </c>
      <c r="B77" s="4">
        <v>31</v>
      </c>
    </row>
    <row r="78" spans="1:5" x14ac:dyDescent="0.3">
      <c r="A78" s="3" t="s">
        <v>4</v>
      </c>
      <c r="B78" s="4">
        <v>62</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8AAA-804A-4BD4-880A-6FFFC33B07FF}">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4CAE5-1315-4226-BBA9-D3F8AA9E6A8B}">
  <dimension ref="A1"/>
  <sheetViews>
    <sheetView workbookViewId="0">
      <selection activeCell="D5" sqref="D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1D8C9-37A4-4141-9F9C-EDE2E201F5FC}">
  <dimension ref="A1"/>
  <sheetViews>
    <sheetView showGridLines="0" tabSelected="1" workbookViewId="0">
      <selection activeCell="G1" sqref="G1"/>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6ADC01E-8A33-4518-9202-6ABCEBA0FBF7}">
  <ds:schemaRefs/>
</ds:datastoreItem>
</file>

<file path=customXml/itemProps2.xml><?xml version="1.0" encoding="utf-8"?>
<ds:datastoreItem xmlns:ds="http://schemas.openxmlformats.org/officeDocument/2006/customXml" ds:itemID="{DC0E2922-1477-46F2-B6B8-C9AAFD5BCDB9}">
  <ds:schemaRefs/>
</ds:datastoreItem>
</file>

<file path=customXml/itemProps3.xml><?xml version="1.0" encoding="utf-8"?>
<ds:datastoreItem xmlns:ds="http://schemas.openxmlformats.org/officeDocument/2006/customXml" ds:itemID="{CC7EE194-8939-4731-9498-4DCFB4131AC4}">
  <ds:schemaRefs/>
</ds:datastoreItem>
</file>

<file path=customXml/itemProps4.xml><?xml version="1.0" encoding="utf-8"?>
<ds:datastoreItem xmlns:ds="http://schemas.openxmlformats.org/officeDocument/2006/customXml" ds:itemID="{1D2FC272-B309-4A56-9943-9F22FB314FD8}">
  <ds:schemaRefs/>
</ds:datastoreItem>
</file>

<file path=customXml/itemProps5.xml><?xml version="1.0" encoding="utf-8"?>
<ds:datastoreItem xmlns:ds="http://schemas.openxmlformats.org/officeDocument/2006/customXml" ds:itemID="{8D0E9199-2E0E-4EF9-AAC1-6B231D037C04}">
  <ds:schemaRefs>
    <ds:schemaRef ds:uri="http://schemas.microsoft.com/DataMashup"/>
  </ds:schemaRefs>
</ds:datastoreItem>
</file>

<file path=customXml/itemProps6.xml><?xml version="1.0" encoding="utf-8"?>
<ds:datastoreItem xmlns:ds="http://schemas.openxmlformats.org/officeDocument/2006/customXml" ds:itemID="{464EE0F3-7133-4A0B-B817-3DA15B76B329}">
  <ds:schemaRefs/>
</ds:datastoreItem>
</file>

<file path=customXml/itemProps7.xml><?xml version="1.0" encoding="utf-8"?>
<ds:datastoreItem xmlns:ds="http://schemas.openxmlformats.org/officeDocument/2006/customXml" ds:itemID="{AE6460FE-1741-4ED6-B8FA-CB3F46B38539}">
  <ds:schemaRefs/>
</ds:datastoreItem>
</file>

<file path=customXml/itemProps8.xml><?xml version="1.0" encoding="utf-8"?>
<ds:datastoreItem xmlns:ds="http://schemas.openxmlformats.org/officeDocument/2006/customXml" ds:itemID="{5F6017CB-FBBD-4A23-A854-0C6B1DA354B9}">
  <ds:schemaRefs/>
</ds:datastoreItem>
</file>

<file path=customXml/itemProps9.xml><?xml version="1.0" encoding="utf-8"?>
<ds:datastoreItem xmlns:ds="http://schemas.openxmlformats.org/officeDocument/2006/customXml" ds:itemID="{B9A4A81B-73E8-43D4-9511-7D48C4FF0DC9}">
  <ds:schemaRefs/>
</ds:datastoreItem>
</file>

<file path=customXml/itemProps10.xml><?xml version="1.0" encoding="utf-8"?>
<ds:datastoreItem xmlns:ds="http://schemas.openxmlformats.org/officeDocument/2006/customXml" ds:itemID="{3A144CE7-5D3C-4580-84E2-2FD1986022EA}">
  <ds:schemaRefs/>
</ds:datastoreItem>
</file>

<file path=customXml/itemProps11.xml><?xml version="1.0" encoding="utf-8"?>
<ds:datastoreItem xmlns:ds="http://schemas.openxmlformats.org/officeDocument/2006/customXml" ds:itemID="{A36DB038-0C9C-45DA-B17D-20C92076F8A5}">
  <ds:schemaRefs/>
</ds:datastoreItem>
</file>

<file path=customXml/itemProps12.xml><?xml version="1.0" encoding="utf-8"?>
<ds:datastoreItem xmlns:ds="http://schemas.openxmlformats.org/officeDocument/2006/customXml" ds:itemID="{CEB285DF-A231-4C3D-91F2-3154207BFA50}">
  <ds:schemaRefs/>
</ds:datastoreItem>
</file>

<file path=customXml/itemProps13.xml><?xml version="1.0" encoding="utf-8"?>
<ds:datastoreItem xmlns:ds="http://schemas.openxmlformats.org/officeDocument/2006/customXml" ds:itemID="{04D5CD07-2263-4080-85A3-5BABF976664E}">
  <ds:schemaRefs/>
</ds:datastoreItem>
</file>

<file path=customXml/itemProps14.xml><?xml version="1.0" encoding="utf-8"?>
<ds:datastoreItem xmlns:ds="http://schemas.openxmlformats.org/officeDocument/2006/customXml" ds:itemID="{3E4953B6-798F-43CD-BC08-B8CC339C5084}">
  <ds:schemaRefs/>
</ds:datastoreItem>
</file>

<file path=customXml/itemProps15.xml><?xml version="1.0" encoding="utf-8"?>
<ds:datastoreItem xmlns:ds="http://schemas.openxmlformats.org/officeDocument/2006/customXml" ds:itemID="{8728EF36-C623-4423-B984-B9C7A44BBD30}">
  <ds:schemaRefs/>
</ds:datastoreItem>
</file>

<file path=customXml/itemProps16.xml><?xml version="1.0" encoding="utf-8"?>
<ds:datastoreItem xmlns:ds="http://schemas.openxmlformats.org/officeDocument/2006/customXml" ds:itemID="{13F33B9F-304D-4ACE-8390-36432647A055}">
  <ds:schemaRefs/>
</ds:datastoreItem>
</file>

<file path=customXml/itemProps17.xml><?xml version="1.0" encoding="utf-8"?>
<ds:datastoreItem xmlns:ds="http://schemas.openxmlformats.org/officeDocument/2006/customXml" ds:itemID="{38E7D40D-B6B8-4BBB-8657-841038FE9D1A}">
  <ds:schemaRefs/>
</ds:datastoreItem>
</file>

<file path=customXml/itemProps18.xml><?xml version="1.0" encoding="utf-8"?>
<ds:datastoreItem xmlns:ds="http://schemas.openxmlformats.org/officeDocument/2006/customXml" ds:itemID="{832D2D84-892F-4DDA-A4B3-428B35D12A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Dashboard</vt:lpstr>
      <vt:lpstr>Pivot report</vt:lpstr>
      <vt:lpstr>avg satisfcation score</vt:lpstr>
      <vt:lpstr>Avg wait time</vt:lpstr>
      <vt:lpstr>daily ER no. of patient</vt:lpstr>
      <vt:lpstr>Monthly_report</vt:lpstr>
      <vt:lpstr>time</vt:lpstr>
      <vt:lpstr>waittime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 Kumari</dc:creator>
  <cp:lastModifiedBy>Seema Kumari</cp:lastModifiedBy>
  <dcterms:created xsi:type="dcterms:W3CDTF">2026-01-30T21:01:31Z</dcterms:created>
  <dcterms:modified xsi:type="dcterms:W3CDTF">2026-01-31T18:43:19Z</dcterms:modified>
</cp:coreProperties>
</file>